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1"/>
  </bookViews>
  <sheets>
    <sheet name="Dashboard" sheetId="6" r:id="rId1"/>
    <sheet name="Sales_Data" sheetId="1" r:id="rId2"/>
    <sheet name="Revenue RegionProfit" sheetId="3" r:id="rId3"/>
    <sheet name="MonthSales" sheetId="4" r:id="rId4"/>
    <sheet name="TopBottomPerformers" sheetId="5" r:id="rId5"/>
  </sheets>
  <definedNames>
    <definedName name="Slicer_Region">#N/A</definedName>
    <definedName name="Slicer_Profit_Category">#N/A</definedName>
    <definedName name="Slicer_Year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<sst xmlns="http://schemas.openxmlformats.org/spreadsheetml/2006/main" count="654" uniqueCount="44">
  <si>
    <t xml:space="preserve">Mirza International Analysis </t>
  </si>
  <si>
    <t>Insights</t>
  </si>
  <si>
    <r>
      <t>Underperforming Region:</t>
    </r>
    <r>
      <rPr>
        <sz val="11"/>
        <color theme="1"/>
        <rFont val="Calibri"/>
        <charset val="134"/>
      </rPr>
      <t xml:space="preserve"> South region shows comparatively lower revenue and weak profit performance, making it the weakest region.</t>
    </r>
  </si>
  <si>
    <r>
      <t>Key Anomalies:</t>
    </r>
    <r>
      <rPr>
        <sz val="11"/>
        <color theme="1"/>
        <rFont val="Calibri"/>
        <charset val="134"/>
      </rPr>
      <t xml:space="preserve"> East and West regions show high revenue but relatively low profit, indicating possible high costs or low margins. Sudden spike in May–June sales also looks unusual.</t>
    </r>
  </si>
  <si>
    <r>
      <t>Improvements:</t>
    </r>
    <r>
      <rPr>
        <sz val="11"/>
        <color theme="1"/>
        <rFont val="Calibri"/>
        <charset val="134"/>
      </rPr>
      <t xml:space="preserve"> Focus on improving South region sales, control costs in East/West regions, and balance performance across salespersons through better targets and training.</t>
    </r>
  </si>
  <si>
    <t>Date</t>
  </si>
  <si>
    <t>Region</t>
  </si>
  <si>
    <t>Salesperson</t>
  </si>
  <si>
    <t>Product</t>
  </si>
  <si>
    <t>Units Sold</t>
  </si>
  <si>
    <t>Revenue</t>
  </si>
  <si>
    <t>Cost</t>
  </si>
  <si>
    <t>Profit</t>
  </si>
  <si>
    <t>Profit Category</t>
  </si>
  <si>
    <t>Performance Category</t>
  </si>
  <si>
    <t>Month</t>
  </si>
  <si>
    <t>Year</t>
  </si>
  <si>
    <t>Top Salesperson</t>
  </si>
  <si>
    <t>Product CategoryXlookup</t>
  </si>
  <si>
    <t>East</t>
  </si>
  <si>
    <t>Neha</t>
  </si>
  <si>
    <t>Shoes</t>
  </si>
  <si>
    <t>Category</t>
  </si>
  <si>
    <t>Amit</t>
  </si>
  <si>
    <t>Bags</t>
  </si>
  <si>
    <t>Footwear</t>
  </si>
  <si>
    <t>Accessories</t>
  </si>
  <si>
    <t>North</t>
  </si>
  <si>
    <t>Arjun</t>
  </si>
  <si>
    <t>Wallets</t>
  </si>
  <si>
    <t>Simran</t>
  </si>
  <si>
    <t>Belts</t>
  </si>
  <si>
    <t>South</t>
  </si>
  <si>
    <t>West</t>
  </si>
  <si>
    <t>Rohit</t>
  </si>
  <si>
    <t>Sum of Revenue</t>
  </si>
  <si>
    <t>Sum of Profit</t>
  </si>
  <si>
    <t>Grand Total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</si>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</sst>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Times New Roman"/>
      <charset val="134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178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4" xfId="0" applyFont="1" applyBorder="1"/>
    <xf numFmtId="0" fontId="1" fillId="2" borderId="0" xfId="0" applyFont="1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178" formatCode="m/d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[Sales_Data_Excel_Test Mirza international.xlsx]TopBottomPerformers!PivotTable4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Bottom Performers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TopBottomPerformers!$B$3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0.00,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TopBottomPerformers!$A$4:$A$9</c:f>
              <c:strCache>
                <c:ptCount val="5"/>
                <c:pt idx="0">
                  <c:v>Amit</c:v>
                </c:pt>
                <c:pt idx="1">
                  <c:v>Arjun</c:v>
                </c:pt>
                <c:pt idx="2">
                  <c:v>Neha</c:v>
                </c:pt>
                <c:pt idx="3">
                  <c:v>Rohit</c:v>
                </c:pt>
                <c:pt idx="4">
                  <c:v>Simran</c:v>
                </c:pt>
              </c:strCache>
            </c:strRef>
          </c:cat>
          <c:val>
            <c:numRef>
              <c:f>TopBottomPerformers!$B$4:$B$9</c:f>
              <c:numCache>
                <c:formatCode>General</c:formatCode>
                <c:ptCount val="5"/>
                <c:pt idx="0">
                  <c:v>243404</c:v>
                </c:pt>
                <c:pt idx="1">
                  <c:v>321211</c:v>
                </c:pt>
                <c:pt idx="2">
                  <c:v>358237</c:v>
                </c:pt>
                <c:pt idx="3">
                  <c:v>266209</c:v>
                </c:pt>
                <c:pt idx="4">
                  <c:v>182687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bcf948-5a58-4374-b7f7-d25d107584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[Sales_Data_Excel_Test Mirza international.xlsx]Revenue RegionProfit!PivotTable2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Revenue: Region vs Profit</a:t>
            </a:r>
          </a:p>
        </c:rich>
      </c:tx>
      <c:layout>
        <c:manualLayout>
          <c:xMode val="edge"/>
          <c:yMode val="edge"/>
          <c:x val="0.301052631578947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RegionProfit'!$B$3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'Revenue RegionProfit'!$A$4:$A$8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'Revenue RegionProfit'!$B$4:$B$8</c:f>
              <c:numCache>
                <c:formatCode>General</c:formatCode>
                <c:ptCount val="4"/>
                <c:pt idx="0">
                  <c:v>2618966</c:v>
                </c:pt>
                <c:pt idx="1">
                  <c:v>3142412</c:v>
                </c:pt>
                <c:pt idx="2">
                  <c:v>2570697</c:v>
                </c:pt>
                <c:pt idx="3">
                  <c:v>3082532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'Revenue RegionProfit'!$C$3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'Revenue RegionProfit'!$A$4:$A$8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'Revenue RegionProfit'!$C$4:$C$8</c:f>
              <c:numCache>
                <c:formatCode>General</c:formatCode>
                <c:ptCount val="4"/>
                <c:pt idx="0">
                  <c:v>339277</c:v>
                </c:pt>
                <c:pt idx="1">
                  <c:v>342905</c:v>
                </c:pt>
                <c:pt idx="2">
                  <c:v>400122</c:v>
                </c:pt>
                <c:pt idx="3">
                  <c:v>289444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8808500"/>
        <c:axId val="810090252"/>
      </c:lineChart>
      <c:catAx>
        <c:axId val="8888085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090252"/>
        <c:crosses val="autoZero"/>
        <c:auto val="1"/>
        <c:lblAlgn val="ctr"/>
        <c:lblOffset val="100"/>
        <c:noMultiLvlLbl val="0"/>
      </c:catAx>
      <c:valAx>
        <c:axId val="8100902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808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144927536232"/>
          <c:y val="0.30586156381598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e48b6b-601c-4fad-8db2-09f66839c7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[Sales_Data_Excel_Test Mirza international.xlsx]MonthSales!PivotTable3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Monthy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MonthSales!$A$4:$A$10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MonthSales!$B$4:$B$10</c:f>
              <c:numCache>
                <c:formatCode>General</c:formatCode>
                <c:ptCount val="6"/>
                <c:pt idx="0">
                  <c:v>1628766</c:v>
                </c:pt>
                <c:pt idx="1">
                  <c:v>1244370</c:v>
                </c:pt>
                <c:pt idx="2">
                  <c:v>1930431</c:v>
                </c:pt>
                <c:pt idx="3">
                  <c:v>1526742</c:v>
                </c:pt>
                <c:pt idx="4">
                  <c:v>2230842</c:v>
                </c:pt>
                <c:pt idx="5">
                  <c:v>2853456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35117852"/>
        <c:axId val="748612369"/>
      </c:barChart>
      <c:catAx>
        <c:axId val="3351178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612369"/>
        <c:crosses val="autoZero"/>
        <c:auto val="1"/>
        <c:lblAlgn val="ctr"/>
        <c:lblOffset val="100"/>
        <c:noMultiLvlLbl val="0"/>
      </c:catAx>
      <c:valAx>
        <c:axId val="7486123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1178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8bf468-e492-4b8f-a769-1062d33efb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[Sales_Data_Excel_Test Mirza international.xlsx]Revenue RegionProfit!PivotTable2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Revenue: Region vs Profit</a:t>
            </a:r>
          </a:p>
        </c:rich>
      </c:tx>
      <c:layout>
        <c:manualLayout>
          <c:xMode val="edge"/>
          <c:yMode val="edge"/>
          <c:x val="0.301052631578947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RegionProfit'!$B$3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'Revenue RegionProfit'!$A$4:$A$8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'Revenue RegionProfit'!$B$4:$B$8</c:f>
              <c:numCache>
                <c:formatCode>General</c:formatCode>
                <c:ptCount val="4"/>
                <c:pt idx="0">
                  <c:v>2618966</c:v>
                </c:pt>
                <c:pt idx="1">
                  <c:v>3142412</c:v>
                </c:pt>
                <c:pt idx="2">
                  <c:v>2570697</c:v>
                </c:pt>
                <c:pt idx="3">
                  <c:v>3082532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'Revenue RegionProfit'!$C$3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'Revenue RegionProfit'!$A$4:$A$8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'Revenue RegionProfit'!$C$4:$C$8</c:f>
              <c:numCache>
                <c:formatCode>General</c:formatCode>
                <c:ptCount val="4"/>
                <c:pt idx="0">
                  <c:v>339277</c:v>
                </c:pt>
                <c:pt idx="1">
                  <c:v>342905</c:v>
                </c:pt>
                <c:pt idx="2">
                  <c:v>400122</c:v>
                </c:pt>
                <c:pt idx="3">
                  <c:v>289444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8808500"/>
        <c:axId val="810090252"/>
      </c:lineChart>
      <c:catAx>
        <c:axId val="8888085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090252"/>
        <c:crosses val="autoZero"/>
        <c:auto val="1"/>
        <c:lblAlgn val="ctr"/>
        <c:lblOffset val="100"/>
        <c:noMultiLvlLbl val="0"/>
      </c:catAx>
      <c:valAx>
        <c:axId val="8100902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808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[Sales_Data_Excel_Test Mirza international.xlsx]MonthSales!PivotTable3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Monthy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MonthSales!$A$4:$A$10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MonthSales!$B$4:$B$10</c:f>
              <c:numCache>
                <c:formatCode>General</c:formatCode>
                <c:ptCount val="6"/>
                <c:pt idx="0">
                  <c:v>1628766</c:v>
                </c:pt>
                <c:pt idx="1">
                  <c:v>1244370</c:v>
                </c:pt>
                <c:pt idx="2">
                  <c:v>1930431</c:v>
                </c:pt>
                <c:pt idx="3">
                  <c:v>1526742</c:v>
                </c:pt>
                <c:pt idx="4">
                  <c:v>2230842</c:v>
                </c:pt>
                <c:pt idx="5">
                  <c:v>2853456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35117852"/>
        <c:axId val="748612369"/>
      </c:barChart>
      <c:catAx>
        <c:axId val="3351178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612369"/>
        <c:crosses val="autoZero"/>
        <c:auto val="1"/>
        <c:lblAlgn val="ctr"/>
        <c:lblOffset val="100"/>
        <c:noMultiLvlLbl val="0"/>
      </c:catAx>
      <c:valAx>
        <c:axId val="7486123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1178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[Sales_Data_Excel_Test Mirza international.xlsx]TopBottomPerformers!PivotTable4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Bottom Performers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TopBottomPerformers!$B$3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0.00,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TopBottomPerformers!$A$4:$A$9</c:f>
              <c:strCache>
                <c:ptCount val="5"/>
                <c:pt idx="0">
                  <c:v>Amit</c:v>
                </c:pt>
                <c:pt idx="1">
                  <c:v>Arjun</c:v>
                </c:pt>
                <c:pt idx="2">
                  <c:v>Neha</c:v>
                </c:pt>
                <c:pt idx="3">
                  <c:v>Rohit</c:v>
                </c:pt>
                <c:pt idx="4">
                  <c:v>Simran</c:v>
                </c:pt>
              </c:strCache>
            </c:strRef>
          </c:cat>
          <c:val>
            <c:numRef>
              <c:f>TopBottomPerformers!$B$4:$B$9</c:f>
              <c:numCache>
                <c:formatCode>General</c:formatCode>
                <c:ptCount val="5"/>
                <c:pt idx="0">
                  <c:v>243404</c:v>
                </c:pt>
                <c:pt idx="1">
                  <c:v>321211</c:v>
                </c:pt>
                <c:pt idx="2">
                  <c:v>358237</c:v>
                </c:pt>
                <c:pt idx="3">
                  <c:v>266209</c:v>
                </c:pt>
                <c:pt idx="4">
                  <c:v>182687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610235</xdr:colOff>
      <xdr:row>1</xdr:row>
      <xdr:rowOff>142240</xdr:rowOff>
    </xdr:from>
    <xdr:to>
      <xdr:col>18</xdr:col>
      <xdr:colOff>34290</xdr:colOff>
      <xdr:row>13</xdr:row>
      <xdr:rowOff>126365</xdr:rowOff>
    </xdr:to>
    <xdr:graphicFrame>
      <xdr:nvGraphicFramePr>
        <xdr:cNvPr id="2" name="Chart 1"/>
        <xdr:cNvGraphicFramePr/>
      </xdr:nvGraphicFramePr>
      <xdr:xfrm>
        <a:off x="7315200" y="726440"/>
        <a:ext cx="3691890" cy="2243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106045</xdr:colOff>
      <xdr:row>1</xdr:row>
      <xdr:rowOff>156210</xdr:rowOff>
    </xdr:from>
    <xdr:to>
      <xdr:col>11</xdr:col>
      <xdr:colOff>368935</xdr:colOff>
      <xdr:row>13</xdr:row>
      <xdr:rowOff>125730</xdr:rowOff>
    </xdr:to>
    <xdr:graphicFrame>
      <xdr:nvGraphicFramePr>
        <xdr:cNvPr id="3" name="Chart 2"/>
        <xdr:cNvGraphicFramePr/>
      </xdr:nvGraphicFramePr>
      <xdr:xfrm>
        <a:off x="3154045" y="740410"/>
        <a:ext cx="3920490" cy="222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131445</xdr:colOff>
      <xdr:row>14</xdr:row>
      <xdr:rowOff>130810</xdr:rowOff>
    </xdr:from>
    <xdr:to>
      <xdr:col>16</xdr:col>
      <xdr:colOff>39370</xdr:colOff>
      <xdr:row>27</xdr:row>
      <xdr:rowOff>148590</xdr:rowOff>
    </xdr:to>
    <xdr:graphicFrame>
      <xdr:nvGraphicFramePr>
        <xdr:cNvPr id="4" name="Chart 3"/>
        <xdr:cNvGraphicFramePr/>
      </xdr:nvGraphicFramePr>
      <xdr:xfrm>
        <a:off x="3179445" y="3157220"/>
        <a:ext cx="6613525" cy="2395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146050</xdr:colOff>
      <xdr:row>8</xdr:row>
      <xdr:rowOff>119380</xdr:rowOff>
    </xdr:from>
    <xdr:to>
      <xdr:col>2</xdr:col>
      <xdr:colOff>410845</xdr:colOff>
      <xdr:row>17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050" y="2048510"/>
              <a:ext cx="1483995" cy="1526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90805</xdr:colOff>
      <xdr:row>17</xdr:row>
      <xdr:rowOff>99695</xdr:rowOff>
    </xdr:from>
    <xdr:to>
      <xdr:col>2</xdr:col>
      <xdr:colOff>420370</xdr:colOff>
      <xdr:row>26</xdr:row>
      <xdr:rowOff>130810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Profi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i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805" y="3674745"/>
              <a:ext cx="1548765" cy="1677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200025</xdr:colOff>
      <xdr:row>1</xdr:row>
      <xdr:rowOff>86995</xdr:rowOff>
    </xdr:from>
    <xdr:to>
      <xdr:col>2</xdr:col>
      <xdr:colOff>447675</xdr:colOff>
      <xdr:row>8</xdr:row>
      <xdr:rowOff>3810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" y="671195"/>
              <a:ext cx="1466850" cy="1261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304800</xdr:colOff>
      <xdr:row>5</xdr:row>
      <xdr:rowOff>114300</xdr:rowOff>
    </xdr:from>
    <xdr:to>
      <xdr:col>12</xdr:col>
      <xdr:colOff>254000</xdr:colOff>
      <xdr:row>20</xdr:row>
      <xdr:rowOff>114300</xdr:rowOff>
    </xdr:to>
    <xdr:graphicFrame>
      <xdr:nvGraphicFramePr>
        <xdr:cNvPr id="2" name="Chart 1"/>
        <xdr:cNvGraphicFramePr/>
      </xdr:nvGraphicFramePr>
      <xdr:xfrm>
        <a:off x="3832860" y="1028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304800</xdr:colOff>
      <xdr:row>6</xdr:row>
      <xdr:rowOff>160020</xdr:rowOff>
    </xdr:from>
    <xdr:to>
      <xdr:col>11</xdr:col>
      <xdr:colOff>254000</xdr:colOff>
      <xdr:row>21</xdr:row>
      <xdr:rowOff>160020</xdr:rowOff>
    </xdr:to>
    <xdr:graphicFrame>
      <xdr:nvGraphicFramePr>
        <xdr:cNvPr id="3" name="Chart 2"/>
        <xdr:cNvGraphicFramePr/>
      </xdr:nvGraphicFramePr>
      <xdr:xfrm>
        <a:off x="281940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358140</xdr:colOff>
      <xdr:row>6</xdr:row>
      <xdr:rowOff>160020</xdr:rowOff>
    </xdr:from>
    <xdr:to>
      <xdr:col>11</xdr:col>
      <xdr:colOff>307340</xdr:colOff>
      <xdr:row>21</xdr:row>
      <xdr:rowOff>160020</xdr:rowOff>
    </xdr:to>
    <xdr:graphicFrame>
      <xdr:nvGraphicFramePr>
        <xdr:cNvPr id="3" name="Chart 2"/>
        <xdr:cNvGraphicFramePr/>
      </xdr:nvGraphicFramePr>
      <xdr:xfrm>
        <a:off x="281940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0.5616435185" refreshedBy="ATVIK SHARMA" recordCount="200">
  <cacheSource type="worksheet">
    <worksheetSource name="Table1"/>
  </cacheSource>
  <cacheFields count="14">
    <cacheField name="Date" numFmtId="178">
      <sharedItems containsSemiMixedTypes="0" containsString="0" containsNonDate="0" containsDate="1" minDate="2025-01-02T00:00:00" maxDate="2025-06-26T00:00:00" count="121">
        <d v="2025-05-07T00:00:00"/>
        <d v="2025-05-02T00:00:00"/>
        <d v="2025-05-31T00:00:00"/>
        <d v="2025-05-08T00:00:00"/>
        <d v="2025-06-10T00:00:00"/>
        <d v="2025-02-02T00:00:00"/>
        <d v="2025-01-29T00:00:00"/>
        <d v="2025-02-24T00:00:00"/>
        <d v="2025-03-08T00:00:00"/>
        <d v="2025-04-01T00:00:00"/>
        <d v="2025-05-05T00:00:00"/>
        <d v="2025-05-27T00:00:00"/>
        <d v="2025-03-28T00:00:00"/>
        <d v="2025-01-31T00:00:00"/>
        <d v="2025-04-17T00:00:00"/>
        <d v="2025-05-19T00:00:00"/>
        <d v="2025-03-31T00:00:00"/>
        <d v="2025-05-06T00:00:00"/>
        <d v="2025-02-21T00:00:00"/>
        <d v="2025-05-04T00:00:00"/>
        <d v="2025-02-25T00:00:00"/>
        <d v="2025-05-25T00:00:00"/>
        <d v="2025-05-26T00:00:00"/>
        <d v="2025-03-27T00:00:00"/>
        <d v="2025-01-08T00:00:00"/>
        <d v="2025-03-29T00:00:00"/>
        <d v="2025-01-05T00:00:00"/>
        <d v="2025-04-10T00:00:00"/>
        <d v="2025-06-01T00:00:00"/>
        <d v="2025-04-03T00:00:00"/>
        <d v="2025-01-20T00:00:00"/>
        <d v="2025-05-24T00:00:00"/>
        <d v="2025-01-27T00:00:00"/>
        <d v="2025-03-22T00:00:00"/>
        <d v="2025-04-26T00:00:00"/>
        <d v="2025-03-13T00:00:00"/>
        <d v="2025-01-16T00:00:00"/>
        <d v="2025-06-08T00:00:00"/>
        <d v="2025-06-20T00:00:00"/>
        <d v="2025-05-09T00:00:00"/>
        <d v="2025-05-22T00:00:00"/>
        <d v="2025-04-07T00:00:00"/>
        <d v="2025-03-07T00:00:00"/>
        <d v="2025-04-21T00:00:00"/>
        <d v="2025-02-04T00:00:00"/>
        <d v="2025-04-13T00:00:00"/>
        <d v="2025-05-16T00:00:00"/>
        <d v="2025-06-23T00:00:00"/>
        <d v="2025-06-25T00:00:00"/>
        <d v="2025-01-02T00:00:00"/>
        <d v="2025-05-13T00:00:00"/>
        <d v="2025-01-21T00:00:00"/>
        <d v="2025-03-12T00:00:00"/>
        <d v="2025-06-19T00:00:00"/>
        <d v="2025-01-19T00:00:00"/>
        <d v="2025-04-02T00:00:00"/>
        <d v="2025-03-14T00:00:00"/>
        <d v="2025-05-30T00:00:00"/>
        <d v="2025-03-25T00:00:00"/>
        <d v="2025-05-01T00:00:00"/>
        <d v="2025-06-02T00:00:00"/>
        <d v="2025-01-14T00:00:00"/>
        <d v="2025-06-13T00:00:00"/>
        <d v="2025-02-05T00:00:00"/>
        <d v="2025-06-11T00:00:00"/>
        <d v="2025-02-27T00:00:00"/>
        <d v="2025-04-22T00:00:00"/>
        <d v="2025-06-22T00:00:00"/>
        <d v="2025-03-26T00:00:00"/>
        <d v="2025-06-09T00:00:00"/>
        <d v="2025-05-29T00:00:00"/>
        <d v="2025-04-18T00:00:00"/>
        <d v="2025-01-09T00:00:00"/>
        <d v="2025-06-15T00:00:00"/>
        <d v="2025-03-15T00:00:00"/>
        <d v="2025-02-13T00:00:00"/>
        <d v="2025-04-20T00:00:00"/>
        <d v="2025-05-21T00:00:00"/>
        <d v="2025-05-03T00:00:00"/>
        <d v="2025-03-05T00:00:00"/>
        <d v="2025-03-30T00:00:00"/>
        <d v="2025-04-19T00:00:00"/>
        <d v="2025-01-26T00:00:00"/>
        <d v="2025-06-03T00:00:00"/>
        <d v="2025-05-17T00:00:00"/>
        <d v="2025-06-18T00:00:00"/>
        <d v="2025-03-09T00:00:00"/>
        <d v="2025-01-30T00:00:00"/>
        <d v="2025-06-17T00:00:00"/>
        <d v="2025-06-24T00:00:00"/>
        <d v="2025-01-10T00:00:00"/>
        <d v="2025-01-23T00:00:00"/>
        <d v="2025-01-03T00:00:00"/>
        <d v="2025-02-03T00:00:00"/>
        <d v="2025-04-11T00:00:00"/>
        <d v="2025-03-06T00:00:00"/>
        <d v="2025-02-12T00:00:00"/>
        <d v="2025-04-28T00:00:00"/>
        <d v="2025-05-14T00:00:00"/>
        <d v="2025-04-30T00:00:00"/>
        <d v="2025-02-09T00:00:00"/>
        <d v="2025-06-26T00:00:00"/>
        <d v="2025-03-23T00:00:00"/>
        <d v="2025-01-18T00:00:00"/>
        <d v="2025-02-19T00:00:00"/>
        <d v="2025-04-25T00:00:00"/>
        <d v="2025-05-11T00:00:00"/>
        <d v="2025-06-14T00:00:00"/>
        <d v="2025-06-21T00:00:00"/>
        <d v="2025-01-06T00:00:00"/>
        <d v="2025-06-16T00:00:00"/>
        <d v="2025-03-20T00:00:00"/>
        <d v="2025-05-10T00:00:00"/>
        <d v="2025-04-09T00:00:00"/>
        <d v="2025-02-22T00:00:00"/>
        <d v="2025-02-06T00:00:00"/>
        <d v="2025-02-28T00:00:00"/>
        <d v="2025-04-24T00:00:00"/>
        <d v="2025-05-23T00:00:00"/>
        <d v="2025-03-18T00:00:00"/>
        <d v="2025-04-06T00:00:00"/>
      </sharedItems>
    </cacheField>
    <cacheField name="Region" numFmtId="0">
      <sharedItems count="4">
        <s v="East"/>
        <s v="North"/>
        <s v="South"/>
        <s v="West"/>
      </sharedItems>
    </cacheField>
    <cacheField name="Salesperson" numFmtId="0">
      <sharedItems count="5">
        <s v="Neha"/>
        <s v="Amit"/>
        <s v="Arjun"/>
        <s v="Simran"/>
        <s v="Rohit"/>
      </sharedItems>
    </cacheField>
    <cacheField name="Product" numFmtId="0">
      <sharedItems count="4">
        <s v="Shoes"/>
        <s v="Bags"/>
        <s v="Wallets"/>
        <s v="Belts"/>
      </sharedItems>
    </cacheField>
    <cacheField name="Units Sold" numFmtId="0">
      <sharedItems containsSemiMixedTypes="0" containsString="0" containsNumber="1" containsInteger="1" minValue="10" maxValue="200" count="121">
        <n v="33"/>
        <n v="42"/>
        <n v="95"/>
        <n v="68"/>
        <n v="181"/>
        <n v="57"/>
        <n v="35"/>
        <n v="37"/>
        <n v="190"/>
        <n v="200"/>
        <n v="40"/>
        <n v="58"/>
        <n v="135"/>
        <n v="193"/>
        <n v="101"/>
        <n v="186"/>
        <n v="188"/>
        <n v="99"/>
        <n v="179"/>
        <n v="53"/>
        <n v="49"/>
        <n v="85"/>
        <n v="140"/>
        <n v="67"/>
        <n v="69"/>
        <n v="92"/>
        <n v="77"/>
        <n v="65"/>
        <n v="81"/>
        <n v="136"/>
        <n v="52"/>
        <n v="105"/>
        <n v="115"/>
        <n v="10"/>
        <n v="192"/>
        <n v="48"/>
        <n v="86"/>
        <n v="79"/>
        <n v="11"/>
        <n v="13"/>
        <n v="38"/>
        <n v="133"/>
        <n v="139"/>
        <n v="15"/>
        <n v="93"/>
        <n v="60"/>
        <n v="151"/>
        <n v="180"/>
        <n v="148"/>
        <n v="75"/>
        <n v="66"/>
        <n v="19"/>
        <n v="61"/>
        <n v="31"/>
        <n v="142"/>
        <n v="84"/>
        <n v="29"/>
        <n v="96"/>
        <n v="144"/>
        <n v="160"/>
        <n v="103"/>
        <n v="153"/>
        <n v="12"/>
        <n v="108"/>
        <n v="174"/>
        <n v="14"/>
        <n v="158"/>
        <n v="189"/>
        <n v="23"/>
        <n v="143"/>
        <n v="43"/>
        <n v="25"/>
        <n v="39"/>
        <n v="74"/>
        <n v="94"/>
        <n v="70"/>
        <n v="110"/>
        <n v="54"/>
        <n v="199"/>
        <n v="64"/>
        <n v="62"/>
        <n v="156"/>
        <n v="17"/>
        <n v="187"/>
        <n v="41"/>
        <n v="184"/>
        <n v="191"/>
        <n v="26"/>
        <n v="120"/>
        <n v="72"/>
        <n v="63"/>
        <n v="128"/>
        <n v="51"/>
        <n v="116"/>
        <n v="145"/>
        <n v="80"/>
        <n v="76"/>
        <n v="129"/>
        <n v="113"/>
        <n v="122"/>
        <n v="194"/>
        <n v="28"/>
        <n v="126"/>
        <n v="50"/>
        <n v="114"/>
        <n v="91"/>
        <n v="78"/>
        <n v="132"/>
        <n v="36"/>
        <n v="47"/>
        <n v="182"/>
        <n v="104"/>
        <n v="102"/>
        <n v="197"/>
        <n v="127"/>
        <n v="150"/>
        <n v="198"/>
        <n v="195"/>
        <n v="90"/>
        <n v="45"/>
        <n v="138"/>
      </sharedItems>
    </cacheField>
    <cacheField name="Revenue" numFmtId="0">
      <sharedItems containsSemiMixedTypes="0" containsString="0" containsNumber="1" containsInteger="1" minValue="3861" maxValue="191478" count="200">
        <n v="11913"/>
        <n v="12138"/>
        <n v="21945"/>
        <n v="46648"/>
        <n v="56291"/>
        <n v="54606"/>
        <n v="24185"/>
        <n v="13098"/>
        <n v="149530"/>
        <n v="123000"/>
        <n v="10400"/>
        <n v="20706"/>
        <n v="107595"/>
        <n v="185087"/>
        <n v="39996"/>
        <n v="81282"/>
        <n v="138368"/>
        <n v="60885"/>
        <n v="52984"/>
        <n v="28461"/>
        <n v="18718"/>
        <n v="51425"/>
        <n v="127540"/>
        <n v="20636"/>
        <n v="28083"/>
        <n v="21988"/>
        <n v="23254"/>
        <n v="141052"/>
        <n v="38740"/>
        <n v="60669"/>
        <n v="69088"/>
        <n v="27716"/>
        <n v="28140"/>
        <n v="23575"/>
        <n v="6780"/>
        <n v="118464"/>
        <n v="30528"/>
        <n v="51858"/>
        <n v="18328"/>
        <n v="10307"/>
        <n v="25461"/>
        <n v="12285"/>
        <n v="37772"/>
        <n v="99456"/>
        <n v="83923"/>
        <n v="61721"/>
        <n v="113980"/>
        <n v="14460"/>
        <n v="47541"/>
        <n v="18693"/>
        <n v="17822"/>
        <n v="57000"/>
        <n v="49343"/>
        <n v="56927"/>
        <n v="168120"/>
        <n v="31056"/>
        <n v="121508"/>
        <n v="34500"/>
        <n v="64614"/>
        <n v="84711"/>
        <n v="12426"/>
        <n v="169100"/>
        <n v="13908"/>
        <n v="26133"/>
        <n v="140012"/>
        <n v="51000"/>
        <n v="64680"/>
        <n v="3861"/>
        <n v="21344"/>
        <n v="55200"/>
        <n v="47892"/>
        <n v="124416"/>
        <n v="33160"/>
        <n v="149920"/>
        <n v="54075"/>
        <n v="116739"/>
        <n v="10596"/>
        <n v="40619"/>
        <n v="55404"/>
        <n v="97440"/>
        <n v="9968"/>
        <n v="121028"/>
        <n v="151767"/>
        <n v="89136"/>
        <n v="34650"/>
        <n v="13639"/>
        <n v="118690"/>
        <n v="174600"/>
        <n v="7740"/>
        <n v="22231"/>
        <n v="12175"/>
        <n v="82517"/>
        <n v="18876"/>
        <n v="52320"/>
        <n v="37814"/>
        <n v="49152"/>
        <n v="47470"/>
        <n v="60792"/>
        <n v="19656"/>
        <n v="54530"/>
        <n v="82491"/>
        <n v="56650"/>
        <n v="11394"/>
        <n v="40500"/>
        <n v="65869"/>
        <n v="16271"/>
        <n v="34944"/>
        <n v="66144"/>
        <n v="40176"/>
        <n v="21294"/>
        <n v="35020"/>
        <n v="25110"/>
        <n v="29445"/>
        <n v="35949"/>
        <n v="119028"/>
        <n v="42534"/>
        <n v="4811"/>
        <n v="53482"/>
        <n v="16769"/>
        <n v="180320"/>
        <n v="38773"/>
        <n v="123025"/>
        <n v="25480"/>
        <n v="62520"/>
        <n v="50328"/>
        <n v="40796"/>
        <n v="47124"/>
        <n v="57344"/>
        <n v="44880"/>
        <n v="110200"/>
        <n v="116220"/>
        <n v="48865"/>
        <n v="106030"/>
        <n v="43840"/>
        <n v="43168"/>
        <n v="51102"/>
        <n v="9947"/>
        <n v="71466"/>
        <n v="58760"/>
        <n v="44826"/>
        <n v="52997"/>
        <n v="24180"/>
        <n v="16072"/>
        <n v="44160"/>
        <n v="61952"/>
        <n v="30616"/>
        <n v="72576"/>
        <n v="42578"/>
        <n v="143754"/>
        <n v="64820"/>
        <n v="8400"/>
        <n v="52542"/>
        <n v="42750"/>
        <n v="112984"/>
        <n v="93360"/>
        <n v="62472"/>
        <n v="83790"/>
        <n v="46854"/>
        <n v="45773"/>
        <n v="70746"/>
        <n v="43229"/>
        <n v="49068"/>
        <n v="60249"/>
        <n v="75108"/>
        <n v="116928"/>
        <n v="18252"/>
        <n v="70944"/>
        <n v="29440"/>
        <n v="38211"/>
        <n v="47320"/>
        <n v="85100"/>
        <n v="56160"/>
        <n v="48654"/>
        <n v="7579"/>
        <n v="126016"/>
        <n v="53754"/>
        <n v="30600"/>
        <n v="98106"/>
        <n v="13872"/>
        <n v="145706"/>
        <n v="42320"/>
        <n v="191478"/>
        <n v="11085"/>
        <n v="10146"/>
        <n v="25420"/>
        <n v="45466"/>
        <n v="45150"/>
        <n v="146916"/>
        <n v="58500"/>
        <n v="25200"/>
        <n v="16560"/>
        <n v="38364"/>
        <n v="10600"/>
        <n v="183150"/>
        <n v="52407"/>
        <n v="26471"/>
        <n v="33222"/>
        <n v="13961"/>
        <n v="43008"/>
        <n v="11040"/>
      </sharedItems>
    </cacheField>
    <cacheField name="Cost" numFmtId="0">
      <sharedItems containsSemiMixedTypes="0" containsString="0" containsNumber="1" containsInteger="1" minValue="-11528" maxValue="177814" count="200">
        <n v="-594"/>
        <n v="14823"/>
        <n v="20676"/>
        <n v="35772"/>
        <n v="50027"/>
        <n v="51397"/>
        <n v="4449"/>
        <n v="-1180"/>
        <n v="148457"/>
        <n v="122852"/>
        <n v="14664"/>
        <n v="25549"/>
        <n v="87756"/>
        <n v="170928"/>
        <n v="36054"/>
        <n v="62167"/>
        <n v="131546"/>
        <n v="53303"/>
        <n v="50674"/>
        <n v="26209"/>
        <n v="23131"/>
        <n v="31598"/>
        <n v="118438"/>
        <n v="24471"/>
        <n v="11118"/>
        <n v="21711"/>
        <n v="23885"/>
        <n v="136227"/>
        <n v="37981"/>
        <n v="44878"/>
        <n v="54473"/>
        <n v="8364"/>
        <n v="30019"/>
        <n v="14629"/>
        <n v="-1242"/>
        <n v="104575"/>
        <n v="13409"/>
        <n v="40329"/>
        <n v="17138"/>
        <n v="-2241"/>
        <n v="18803"/>
        <n v="-2233"/>
        <n v="23480"/>
        <n v="97811"/>
        <n v="87523"/>
        <n v="51327"/>
        <n v="113054"/>
        <n v="12078"/>
        <n v="36426"/>
        <n v="20012"/>
        <n v="13418"/>
        <n v="42880"/>
        <n v="46938"/>
        <n v="57633"/>
        <n v="168365"/>
        <n v="34328"/>
        <n v="125196"/>
        <n v="28629"/>
        <n v="67680"/>
        <n v="66987"/>
        <n v="15673"/>
        <n v="162629"/>
        <n v="10625"/>
        <n v="24817"/>
        <n v="144309"/>
        <n v="35796"/>
        <n v="46505"/>
        <n v="2211"/>
        <n v="19497"/>
        <n v="36517"/>
        <n v="52348"/>
        <n v="126992"/>
        <n v="16024"/>
        <n v="152371"/>
        <n v="47707"/>
        <n v="118495"/>
        <n v="12777"/>
        <n v="31790"/>
        <n v="55311"/>
        <n v="86678"/>
        <n v="9309"/>
        <n v="115154"/>
        <n v="145932"/>
        <n v="80247"/>
        <n v="15510"/>
        <n v="2189"/>
        <n v="103345"/>
        <n v="166853"/>
        <n v="9282"/>
        <n v="18368"/>
        <n v="8249"/>
        <n v="82219"/>
        <n v="9278"/>
        <n v="55716"/>
        <n v="20529"/>
        <n v="29710"/>
        <n v="48002"/>
        <n v="47231"/>
        <n v="-170"/>
        <n v="35262"/>
        <n v="87285"/>
        <n v="39137"/>
        <n v="14984"/>
        <n v="36305"/>
        <n v="50688"/>
        <n v="13780"/>
        <n v="20909"/>
        <n v="49618"/>
        <n v="39020"/>
        <n v="14900"/>
        <n v="24805"/>
        <n v="23550"/>
        <n v="21419"/>
        <n v="38784"/>
        <n v="114431"/>
        <n v="42369"/>
        <n v="-11528"/>
        <n v="33500"/>
        <n v="19263"/>
        <n v="177814"/>
        <n v="22431"/>
        <n v="122856"/>
        <n v="28231"/>
        <n v="58071"/>
        <n v="35050"/>
        <n v="22523"/>
        <n v="28347"/>
        <n v="45612"/>
        <n v="28141"/>
        <n v="99537"/>
        <n v="119144"/>
        <n v="29841"/>
        <n v="103872"/>
        <n v="27155"/>
        <n v="42030"/>
        <n v="52962"/>
        <n v="5509"/>
        <n v="63968"/>
        <n v="51910"/>
        <n v="32086"/>
        <n v="33996"/>
        <n v="13214"/>
        <n v="16619"/>
        <n v="46492"/>
        <n v="52137"/>
        <n v="28198"/>
        <n v="75110"/>
        <n v="47276"/>
        <n v="141365"/>
        <n v="69444"/>
        <n v="8506"/>
        <n v="38169"/>
        <n v="29192"/>
        <n v="97085"/>
        <n v="90713"/>
        <n v="57408"/>
        <n v="70586"/>
        <n v="49071"/>
        <n v="40032"/>
        <n v="52697"/>
        <n v="37963"/>
        <n v="32124"/>
        <n v="46330"/>
        <n v="79385"/>
        <n v="115262"/>
        <n v="3356"/>
        <n v="63226"/>
        <n v="17050"/>
        <n v="33247"/>
        <n v="30377"/>
        <n v="79423"/>
        <n v="37282"/>
        <n v="42845"/>
        <n v="-3666"/>
        <n v="119286"/>
        <n v="47981"/>
        <n v="32034"/>
        <n v="84438"/>
        <n v="8112"/>
        <n v="138120"/>
        <n v="28602"/>
        <n v="177457"/>
        <n v="-6256"/>
        <n v="8471"/>
        <n v="8060"/>
        <n v="49248"/>
        <n v="44117"/>
        <n v="133478"/>
        <n v="58837"/>
        <n v="27142"/>
        <n v="20861"/>
        <n v="34331"/>
        <n v="12499"/>
        <n v="173927"/>
        <n v="52341"/>
        <n v="7786"/>
        <n v="34938"/>
        <n v="-3360"/>
        <n v="44018"/>
        <n v="-5474"/>
      </sharedItems>
    </cacheField>
    <cacheField name="Profit" numFmtId="0">
      <sharedItems containsSemiMixedTypes="0" containsString="0" containsNumber="1" containsInteger="1" minValue="-4843" maxValue="19982" count="200">
        <n v="12507"/>
        <n v="-2685"/>
        <n v="1269"/>
        <n v="10876"/>
        <n v="6264"/>
        <n v="3209"/>
        <n v="19736"/>
        <n v="14278"/>
        <n v="1073"/>
        <n v="148"/>
        <n v="-4264"/>
        <n v="-4843"/>
        <n v="19839"/>
        <n v="14159"/>
        <n v="3942"/>
        <n v="19115"/>
        <n v="6822"/>
        <n v="7582"/>
        <n v="2310"/>
        <n v="2252"/>
        <n v="-4413"/>
        <n v="19827"/>
        <n v="9102"/>
        <n v="-3835"/>
        <n v="16965"/>
        <n v="277"/>
        <n v="-631"/>
        <n v="4825"/>
        <n v="759"/>
        <n v="15791"/>
        <n v="14615"/>
        <n v="19352"/>
        <n v="-1879"/>
        <n v="8946"/>
        <n v="8022"/>
        <n v="13889"/>
        <n v="17119"/>
        <n v="11529"/>
        <n v="1190"/>
        <n v="12548"/>
        <n v="6658"/>
        <n v="14518"/>
        <n v="14292"/>
        <n v="1645"/>
        <n v="-3600"/>
        <n v="10394"/>
        <n v="926"/>
        <n v="2382"/>
        <n v="11115"/>
        <n v="-1319"/>
        <n v="4404"/>
        <n v="14120"/>
        <n v="2405"/>
        <n v="-706"/>
        <n v="-245"/>
        <n v="-3272"/>
        <n v="-3688"/>
        <n v="5871"/>
        <n v="-3066"/>
        <n v="17724"/>
        <n v="-3247"/>
        <n v="6471"/>
        <n v="3283"/>
        <n v="1316"/>
        <n v="-4297"/>
        <n v="15204"/>
        <n v="18175"/>
        <n v="1650"/>
        <n v="1847"/>
        <n v="18683"/>
        <n v="-4456"/>
        <n v="-2576"/>
        <n v="17136"/>
        <n v="-2451"/>
        <n v="6368"/>
        <n v="-1756"/>
        <n v="-2181"/>
        <n v="8829"/>
        <n v="93"/>
        <n v="10762"/>
        <n v="659"/>
        <n v="5874"/>
        <n v="5835"/>
        <n v="8889"/>
        <n v="19140"/>
        <n v="11450"/>
        <n v="15345"/>
        <n v="7747"/>
        <n v="-1542"/>
        <n v="3863"/>
        <n v="3926"/>
        <n v="298"/>
        <n v="9598"/>
        <n v="-3396"/>
        <n v="17285"/>
        <n v="19442"/>
        <n v="-532"/>
        <n v="13561"/>
        <n v="19826"/>
        <n v="19268"/>
        <n v="-4794"/>
        <n v="17513"/>
        <n v="-3590"/>
        <n v="4195"/>
        <n v="15181"/>
        <n v="2491"/>
        <n v="14035"/>
        <n v="16526"/>
        <n v="1156"/>
        <n v="6394"/>
        <n v="10215"/>
        <n v="1560"/>
        <n v="8026"/>
        <n v="-2835"/>
        <n v="4597"/>
        <n v="165"/>
        <n v="16339"/>
        <n v="19982"/>
        <n v="-2494"/>
        <n v="2506"/>
        <n v="16342"/>
        <n v="169"/>
        <n v="-2751"/>
        <n v="4449"/>
        <n v="15278"/>
        <n v="18273"/>
        <n v="18777"/>
        <n v="11732"/>
        <n v="16739"/>
        <n v="10663"/>
        <n v="-2924"/>
        <n v="19024"/>
        <n v="2158"/>
        <n v="16685"/>
        <n v="1138"/>
        <n v="-1860"/>
        <n v="4438"/>
        <n v="7498"/>
        <n v="6850"/>
        <n v="12740"/>
        <n v="19001"/>
        <n v="10966"/>
        <n v="-547"/>
        <n v="-2332"/>
        <n v="9815"/>
        <n v="2418"/>
        <n v="-2534"/>
        <n v="-4698"/>
        <n v="2389"/>
        <n v="-4624"/>
        <n v="-106"/>
        <n v="14373"/>
        <n v="13558"/>
        <n v="15899"/>
        <n v="2647"/>
        <n v="5064"/>
        <n v="13204"/>
        <n v="-2217"/>
        <n v="5741"/>
        <n v="18049"/>
        <n v="5266"/>
        <n v="16944"/>
        <n v="13919"/>
        <n v="-4277"/>
        <n v="1666"/>
        <n v="14896"/>
        <n v="7718"/>
        <n v="12390"/>
        <n v="4964"/>
        <n v="16943"/>
        <n v="5677"/>
        <n v="18878"/>
        <n v="5809"/>
        <n v="11245"/>
        <n v="6730"/>
        <n v="5773"/>
        <n v="-1434"/>
        <n v="13668"/>
        <n v="5760"/>
        <n v="7586"/>
        <n v="13718"/>
        <n v="14021"/>
        <n v="17341"/>
        <n v="1675"/>
        <n v="17360"/>
        <n v="-3782"/>
        <n v="1033"/>
        <n v="13438"/>
        <n v="-337"/>
        <n v="-1942"/>
        <n v="-4301"/>
        <n v="4033"/>
        <n v="-1899"/>
        <n v="9223"/>
        <n v="66"/>
        <n v="18685"/>
        <n v="-1716"/>
        <n v="17321"/>
        <n v="-1010"/>
        <n v="16514"/>
      </sharedItems>
    </cacheField>
    <cacheField name="Profit Category" numFmtId="0">
      <sharedItems count="4">
        <s v="Medium"/>
        <s v="Loss"/>
        <s v="Low"/>
        <s v="High"/>
      </sharedItems>
    </cacheField>
    <cacheField name="Performance Category" numFmtId="0">
      <sharedItems count="2">
        <s v="Normal"/>
        <s v="High Performing"/>
      </sharedItems>
    </cacheField>
    <cacheField name="Month" numFmtId="0">
      <sharedItems count="6">
        <s v="May"/>
        <s v="Jun"/>
        <s v="Feb"/>
        <s v="Jan"/>
        <s v="Mar"/>
        <s v="Apr"/>
      </sharedItems>
    </cacheField>
    <cacheField name="Year" numFmtId="0">
      <sharedItems containsSemiMixedTypes="0" containsString="0" containsNumber="1" containsInteger="1" minValue="2025" maxValue="2025" count="1">
        <n v="2025"/>
      </sharedItems>
    </cacheField>
    <cacheField name="Top Salesperson" numFmtId="0">
      <sharedItems count="1">
        <s v="Shoes"/>
      </sharedItems>
    </cacheField>
    <cacheField name="Product Category" numFmtId="0">
      <sharedItems count="2">
        <s v="Footwear"/>
        <s v="Accessori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0"/>
    <x v="0"/>
    <x v="0"/>
    <x v="0"/>
    <x v="1"/>
  </r>
  <r>
    <x v="2"/>
    <x v="0"/>
    <x v="0"/>
    <x v="1"/>
    <x v="2"/>
    <x v="2"/>
    <x v="2"/>
    <x v="2"/>
    <x v="2"/>
    <x v="0"/>
    <x v="0"/>
    <x v="0"/>
    <x v="0"/>
    <x v="1"/>
  </r>
  <r>
    <x v="3"/>
    <x v="1"/>
    <x v="2"/>
    <x v="2"/>
    <x v="3"/>
    <x v="3"/>
    <x v="3"/>
    <x v="3"/>
    <x v="0"/>
    <x v="0"/>
    <x v="0"/>
    <x v="0"/>
    <x v="0"/>
    <x v="1"/>
  </r>
  <r>
    <x v="4"/>
    <x v="1"/>
    <x v="3"/>
    <x v="0"/>
    <x v="4"/>
    <x v="4"/>
    <x v="4"/>
    <x v="4"/>
    <x v="0"/>
    <x v="0"/>
    <x v="1"/>
    <x v="0"/>
    <x v="0"/>
    <x v="0"/>
  </r>
  <r>
    <x v="5"/>
    <x v="2"/>
    <x v="0"/>
    <x v="1"/>
    <x v="5"/>
    <x v="5"/>
    <x v="5"/>
    <x v="5"/>
    <x v="2"/>
    <x v="0"/>
    <x v="2"/>
    <x v="0"/>
    <x v="0"/>
    <x v="1"/>
  </r>
  <r>
    <x v="6"/>
    <x v="3"/>
    <x v="0"/>
    <x v="2"/>
    <x v="6"/>
    <x v="6"/>
    <x v="6"/>
    <x v="6"/>
    <x v="3"/>
    <x v="0"/>
    <x v="3"/>
    <x v="0"/>
    <x v="0"/>
    <x v="1"/>
  </r>
  <r>
    <x v="7"/>
    <x v="1"/>
    <x v="3"/>
    <x v="3"/>
    <x v="7"/>
    <x v="7"/>
    <x v="7"/>
    <x v="7"/>
    <x v="0"/>
    <x v="0"/>
    <x v="2"/>
    <x v="0"/>
    <x v="0"/>
    <x v="1"/>
  </r>
  <r>
    <x v="8"/>
    <x v="3"/>
    <x v="2"/>
    <x v="0"/>
    <x v="8"/>
    <x v="8"/>
    <x v="8"/>
    <x v="8"/>
    <x v="2"/>
    <x v="0"/>
    <x v="4"/>
    <x v="0"/>
    <x v="0"/>
    <x v="0"/>
  </r>
  <r>
    <x v="9"/>
    <x v="1"/>
    <x v="3"/>
    <x v="2"/>
    <x v="9"/>
    <x v="9"/>
    <x v="9"/>
    <x v="9"/>
    <x v="2"/>
    <x v="0"/>
    <x v="5"/>
    <x v="0"/>
    <x v="0"/>
    <x v="1"/>
  </r>
  <r>
    <x v="10"/>
    <x v="3"/>
    <x v="2"/>
    <x v="3"/>
    <x v="10"/>
    <x v="10"/>
    <x v="10"/>
    <x v="10"/>
    <x v="1"/>
    <x v="0"/>
    <x v="0"/>
    <x v="0"/>
    <x v="0"/>
    <x v="1"/>
  </r>
  <r>
    <x v="1"/>
    <x v="0"/>
    <x v="4"/>
    <x v="0"/>
    <x v="11"/>
    <x v="11"/>
    <x v="11"/>
    <x v="11"/>
    <x v="1"/>
    <x v="0"/>
    <x v="0"/>
    <x v="0"/>
    <x v="0"/>
    <x v="0"/>
  </r>
  <r>
    <x v="11"/>
    <x v="0"/>
    <x v="0"/>
    <x v="0"/>
    <x v="12"/>
    <x v="12"/>
    <x v="12"/>
    <x v="12"/>
    <x v="3"/>
    <x v="1"/>
    <x v="0"/>
    <x v="0"/>
    <x v="0"/>
    <x v="0"/>
  </r>
  <r>
    <x v="12"/>
    <x v="1"/>
    <x v="3"/>
    <x v="0"/>
    <x v="13"/>
    <x v="13"/>
    <x v="13"/>
    <x v="13"/>
    <x v="0"/>
    <x v="1"/>
    <x v="4"/>
    <x v="0"/>
    <x v="0"/>
    <x v="0"/>
  </r>
  <r>
    <x v="13"/>
    <x v="0"/>
    <x v="1"/>
    <x v="3"/>
    <x v="14"/>
    <x v="14"/>
    <x v="14"/>
    <x v="14"/>
    <x v="2"/>
    <x v="0"/>
    <x v="3"/>
    <x v="0"/>
    <x v="0"/>
    <x v="1"/>
  </r>
  <r>
    <x v="14"/>
    <x v="2"/>
    <x v="2"/>
    <x v="1"/>
    <x v="15"/>
    <x v="15"/>
    <x v="15"/>
    <x v="15"/>
    <x v="3"/>
    <x v="1"/>
    <x v="5"/>
    <x v="0"/>
    <x v="0"/>
    <x v="1"/>
  </r>
  <r>
    <x v="15"/>
    <x v="1"/>
    <x v="4"/>
    <x v="3"/>
    <x v="16"/>
    <x v="16"/>
    <x v="16"/>
    <x v="16"/>
    <x v="0"/>
    <x v="0"/>
    <x v="0"/>
    <x v="0"/>
    <x v="0"/>
    <x v="1"/>
  </r>
  <r>
    <x v="16"/>
    <x v="3"/>
    <x v="3"/>
    <x v="1"/>
    <x v="17"/>
    <x v="17"/>
    <x v="17"/>
    <x v="17"/>
    <x v="0"/>
    <x v="0"/>
    <x v="4"/>
    <x v="0"/>
    <x v="0"/>
    <x v="1"/>
  </r>
  <r>
    <x v="17"/>
    <x v="0"/>
    <x v="3"/>
    <x v="0"/>
    <x v="18"/>
    <x v="18"/>
    <x v="18"/>
    <x v="18"/>
    <x v="2"/>
    <x v="0"/>
    <x v="0"/>
    <x v="0"/>
    <x v="0"/>
    <x v="0"/>
  </r>
  <r>
    <x v="18"/>
    <x v="0"/>
    <x v="3"/>
    <x v="0"/>
    <x v="19"/>
    <x v="19"/>
    <x v="19"/>
    <x v="19"/>
    <x v="2"/>
    <x v="0"/>
    <x v="2"/>
    <x v="0"/>
    <x v="0"/>
    <x v="0"/>
  </r>
  <r>
    <x v="19"/>
    <x v="1"/>
    <x v="1"/>
    <x v="1"/>
    <x v="20"/>
    <x v="20"/>
    <x v="20"/>
    <x v="20"/>
    <x v="1"/>
    <x v="0"/>
    <x v="0"/>
    <x v="0"/>
    <x v="0"/>
    <x v="1"/>
  </r>
  <r>
    <x v="20"/>
    <x v="3"/>
    <x v="1"/>
    <x v="1"/>
    <x v="21"/>
    <x v="21"/>
    <x v="21"/>
    <x v="21"/>
    <x v="3"/>
    <x v="0"/>
    <x v="2"/>
    <x v="0"/>
    <x v="0"/>
    <x v="1"/>
  </r>
  <r>
    <x v="21"/>
    <x v="2"/>
    <x v="0"/>
    <x v="2"/>
    <x v="22"/>
    <x v="22"/>
    <x v="22"/>
    <x v="22"/>
    <x v="0"/>
    <x v="0"/>
    <x v="0"/>
    <x v="0"/>
    <x v="0"/>
    <x v="1"/>
  </r>
  <r>
    <x v="22"/>
    <x v="2"/>
    <x v="2"/>
    <x v="2"/>
    <x v="23"/>
    <x v="23"/>
    <x v="23"/>
    <x v="23"/>
    <x v="1"/>
    <x v="0"/>
    <x v="0"/>
    <x v="0"/>
    <x v="0"/>
    <x v="1"/>
  </r>
  <r>
    <x v="23"/>
    <x v="2"/>
    <x v="4"/>
    <x v="0"/>
    <x v="24"/>
    <x v="24"/>
    <x v="24"/>
    <x v="24"/>
    <x v="3"/>
    <x v="0"/>
    <x v="4"/>
    <x v="0"/>
    <x v="0"/>
    <x v="0"/>
  </r>
  <r>
    <x v="24"/>
    <x v="1"/>
    <x v="0"/>
    <x v="3"/>
    <x v="25"/>
    <x v="25"/>
    <x v="25"/>
    <x v="25"/>
    <x v="2"/>
    <x v="0"/>
    <x v="3"/>
    <x v="0"/>
    <x v="0"/>
    <x v="1"/>
  </r>
  <r>
    <x v="25"/>
    <x v="1"/>
    <x v="3"/>
    <x v="0"/>
    <x v="26"/>
    <x v="26"/>
    <x v="26"/>
    <x v="26"/>
    <x v="1"/>
    <x v="0"/>
    <x v="4"/>
    <x v="0"/>
    <x v="0"/>
    <x v="0"/>
  </r>
  <r>
    <x v="9"/>
    <x v="2"/>
    <x v="3"/>
    <x v="3"/>
    <x v="18"/>
    <x v="27"/>
    <x v="27"/>
    <x v="27"/>
    <x v="2"/>
    <x v="0"/>
    <x v="5"/>
    <x v="0"/>
    <x v="0"/>
    <x v="1"/>
  </r>
  <r>
    <x v="26"/>
    <x v="0"/>
    <x v="4"/>
    <x v="2"/>
    <x v="27"/>
    <x v="28"/>
    <x v="28"/>
    <x v="28"/>
    <x v="2"/>
    <x v="0"/>
    <x v="3"/>
    <x v="0"/>
    <x v="0"/>
    <x v="1"/>
  </r>
  <r>
    <x v="27"/>
    <x v="1"/>
    <x v="3"/>
    <x v="0"/>
    <x v="28"/>
    <x v="29"/>
    <x v="29"/>
    <x v="29"/>
    <x v="3"/>
    <x v="0"/>
    <x v="5"/>
    <x v="0"/>
    <x v="0"/>
    <x v="0"/>
  </r>
  <r>
    <x v="28"/>
    <x v="1"/>
    <x v="4"/>
    <x v="2"/>
    <x v="29"/>
    <x v="30"/>
    <x v="30"/>
    <x v="30"/>
    <x v="0"/>
    <x v="1"/>
    <x v="1"/>
    <x v="0"/>
    <x v="0"/>
    <x v="1"/>
  </r>
  <r>
    <x v="29"/>
    <x v="1"/>
    <x v="2"/>
    <x v="3"/>
    <x v="30"/>
    <x v="31"/>
    <x v="31"/>
    <x v="31"/>
    <x v="3"/>
    <x v="0"/>
    <x v="5"/>
    <x v="0"/>
    <x v="0"/>
    <x v="1"/>
  </r>
  <r>
    <x v="30"/>
    <x v="2"/>
    <x v="0"/>
    <x v="0"/>
    <x v="31"/>
    <x v="32"/>
    <x v="32"/>
    <x v="32"/>
    <x v="1"/>
    <x v="0"/>
    <x v="3"/>
    <x v="0"/>
    <x v="0"/>
    <x v="0"/>
  </r>
  <r>
    <x v="31"/>
    <x v="0"/>
    <x v="0"/>
    <x v="2"/>
    <x v="32"/>
    <x v="33"/>
    <x v="33"/>
    <x v="33"/>
    <x v="0"/>
    <x v="0"/>
    <x v="0"/>
    <x v="0"/>
    <x v="0"/>
    <x v="1"/>
  </r>
  <r>
    <x v="32"/>
    <x v="0"/>
    <x v="4"/>
    <x v="0"/>
    <x v="33"/>
    <x v="34"/>
    <x v="34"/>
    <x v="34"/>
    <x v="0"/>
    <x v="0"/>
    <x v="3"/>
    <x v="0"/>
    <x v="0"/>
    <x v="0"/>
  </r>
  <r>
    <x v="33"/>
    <x v="1"/>
    <x v="1"/>
    <x v="2"/>
    <x v="34"/>
    <x v="35"/>
    <x v="35"/>
    <x v="35"/>
    <x v="0"/>
    <x v="1"/>
    <x v="4"/>
    <x v="0"/>
    <x v="0"/>
    <x v="1"/>
  </r>
  <r>
    <x v="34"/>
    <x v="2"/>
    <x v="0"/>
    <x v="0"/>
    <x v="35"/>
    <x v="36"/>
    <x v="36"/>
    <x v="36"/>
    <x v="3"/>
    <x v="0"/>
    <x v="5"/>
    <x v="0"/>
    <x v="0"/>
    <x v="0"/>
  </r>
  <r>
    <x v="35"/>
    <x v="1"/>
    <x v="0"/>
    <x v="0"/>
    <x v="36"/>
    <x v="37"/>
    <x v="37"/>
    <x v="37"/>
    <x v="0"/>
    <x v="0"/>
    <x v="4"/>
    <x v="0"/>
    <x v="0"/>
    <x v="0"/>
  </r>
  <r>
    <x v="36"/>
    <x v="3"/>
    <x v="0"/>
    <x v="2"/>
    <x v="37"/>
    <x v="38"/>
    <x v="38"/>
    <x v="38"/>
    <x v="2"/>
    <x v="0"/>
    <x v="3"/>
    <x v="0"/>
    <x v="0"/>
    <x v="1"/>
  </r>
  <r>
    <x v="37"/>
    <x v="2"/>
    <x v="0"/>
    <x v="1"/>
    <x v="38"/>
    <x v="39"/>
    <x v="39"/>
    <x v="39"/>
    <x v="0"/>
    <x v="0"/>
    <x v="1"/>
    <x v="0"/>
    <x v="0"/>
    <x v="1"/>
  </r>
  <r>
    <x v="38"/>
    <x v="1"/>
    <x v="0"/>
    <x v="2"/>
    <x v="24"/>
    <x v="40"/>
    <x v="40"/>
    <x v="40"/>
    <x v="0"/>
    <x v="0"/>
    <x v="1"/>
    <x v="0"/>
    <x v="0"/>
    <x v="1"/>
  </r>
  <r>
    <x v="39"/>
    <x v="1"/>
    <x v="2"/>
    <x v="3"/>
    <x v="39"/>
    <x v="41"/>
    <x v="41"/>
    <x v="41"/>
    <x v="0"/>
    <x v="0"/>
    <x v="0"/>
    <x v="0"/>
    <x v="0"/>
    <x v="1"/>
  </r>
  <r>
    <x v="40"/>
    <x v="0"/>
    <x v="0"/>
    <x v="0"/>
    <x v="40"/>
    <x v="42"/>
    <x v="42"/>
    <x v="42"/>
    <x v="0"/>
    <x v="0"/>
    <x v="0"/>
    <x v="0"/>
    <x v="0"/>
    <x v="0"/>
  </r>
  <r>
    <x v="41"/>
    <x v="3"/>
    <x v="3"/>
    <x v="2"/>
    <x v="34"/>
    <x v="43"/>
    <x v="43"/>
    <x v="43"/>
    <x v="2"/>
    <x v="0"/>
    <x v="5"/>
    <x v="0"/>
    <x v="0"/>
    <x v="1"/>
  </r>
  <r>
    <x v="42"/>
    <x v="0"/>
    <x v="1"/>
    <x v="0"/>
    <x v="41"/>
    <x v="44"/>
    <x v="44"/>
    <x v="44"/>
    <x v="1"/>
    <x v="0"/>
    <x v="4"/>
    <x v="0"/>
    <x v="0"/>
    <x v="0"/>
  </r>
  <r>
    <x v="35"/>
    <x v="0"/>
    <x v="3"/>
    <x v="1"/>
    <x v="4"/>
    <x v="45"/>
    <x v="45"/>
    <x v="45"/>
    <x v="0"/>
    <x v="1"/>
    <x v="4"/>
    <x v="0"/>
    <x v="0"/>
    <x v="1"/>
  </r>
  <r>
    <x v="43"/>
    <x v="0"/>
    <x v="1"/>
    <x v="2"/>
    <x v="42"/>
    <x v="46"/>
    <x v="46"/>
    <x v="46"/>
    <x v="2"/>
    <x v="0"/>
    <x v="5"/>
    <x v="0"/>
    <x v="0"/>
    <x v="1"/>
  </r>
  <r>
    <x v="9"/>
    <x v="0"/>
    <x v="0"/>
    <x v="3"/>
    <x v="43"/>
    <x v="47"/>
    <x v="47"/>
    <x v="47"/>
    <x v="2"/>
    <x v="0"/>
    <x v="5"/>
    <x v="0"/>
    <x v="0"/>
    <x v="1"/>
  </r>
  <r>
    <x v="44"/>
    <x v="3"/>
    <x v="2"/>
    <x v="1"/>
    <x v="24"/>
    <x v="48"/>
    <x v="48"/>
    <x v="48"/>
    <x v="0"/>
    <x v="0"/>
    <x v="2"/>
    <x v="0"/>
    <x v="0"/>
    <x v="1"/>
  </r>
  <r>
    <x v="42"/>
    <x v="0"/>
    <x v="2"/>
    <x v="2"/>
    <x v="44"/>
    <x v="49"/>
    <x v="49"/>
    <x v="49"/>
    <x v="1"/>
    <x v="0"/>
    <x v="4"/>
    <x v="0"/>
    <x v="0"/>
    <x v="1"/>
  </r>
  <r>
    <x v="19"/>
    <x v="2"/>
    <x v="2"/>
    <x v="2"/>
    <x v="23"/>
    <x v="50"/>
    <x v="50"/>
    <x v="50"/>
    <x v="2"/>
    <x v="0"/>
    <x v="0"/>
    <x v="0"/>
    <x v="0"/>
    <x v="1"/>
  </r>
  <r>
    <x v="45"/>
    <x v="1"/>
    <x v="1"/>
    <x v="1"/>
    <x v="45"/>
    <x v="51"/>
    <x v="51"/>
    <x v="51"/>
    <x v="0"/>
    <x v="0"/>
    <x v="5"/>
    <x v="0"/>
    <x v="0"/>
    <x v="1"/>
  </r>
  <r>
    <x v="46"/>
    <x v="3"/>
    <x v="4"/>
    <x v="2"/>
    <x v="41"/>
    <x v="52"/>
    <x v="52"/>
    <x v="52"/>
    <x v="2"/>
    <x v="0"/>
    <x v="0"/>
    <x v="0"/>
    <x v="0"/>
    <x v="1"/>
  </r>
  <r>
    <x v="20"/>
    <x v="0"/>
    <x v="1"/>
    <x v="1"/>
    <x v="46"/>
    <x v="53"/>
    <x v="53"/>
    <x v="53"/>
    <x v="1"/>
    <x v="0"/>
    <x v="2"/>
    <x v="0"/>
    <x v="0"/>
    <x v="1"/>
  </r>
  <r>
    <x v="47"/>
    <x v="2"/>
    <x v="3"/>
    <x v="0"/>
    <x v="47"/>
    <x v="54"/>
    <x v="54"/>
    <x v="54"/>
    <x v="1"/>
    <x v="0"/>
    <x v="1"/>
    <x v="0"/>
    <x v="0"/>
    <x v="0"/>
  </r>
  <r>
    <x v="48"/>
    <x v="0"/>
    <x v="1"/>
    <x v="0"/>
    <x v="35"/>
    <x v="55"/>
    <x v="55"/>
    <x v="55"/>
    <x v="1"/>
    <x v="0"/>
    <x v="1"/>
    <x v="0"/>
    <x v="0"/>
    <x v="0"/>
  </r>
  <r>
    <x v="49"/>
    <x v="1"/>
    <x v="0"/>
    <x v="0"/>
    <x v="48"/>
    <x v="56"/>
    <x v="56"/>
    <x v="56"/>
    <x v="1"/>
    <x v="0"/>
    <x v="3"/>
    <x v="0"/>
    <x v="0"/>
    <x v="0"/>
  </r>
  <r>
    <x v="50"/>
    <x v="1"/>
    <x v="1"/>
    <x v="0"/>
    <x v="49"/>
    <x v="57"/>
    <x v="57"/>
    <x v="57"/>
    <x v="0"/>
    <x v="0"/>
    <x v="0"/>
    <x v="0"/>
    <x v="0"/>
    <x v="0"/>
  </r>
  <r>
    <x v="51"/>
    <x v="2"/>
    <x v="4"/>
    <x v="0"/>
    <x v="50"/>
    <x v="58"/>
    <x v="58"/>
    <x v="58"/>
    <x v="1"/>
    <x v="0"/>
    <x v="3"/>
    <x v="0"/>
    <x v="0"/>
    <x v="0"/>
  </r>
  <r>
    <x v="26"/>
    <x v="3"/>
    <x v="4"/>
    <x v="3"/>
    <x v="46"/>
    <x v="59"/>
    <x v="59"/>
    <x v="59"/>
    <x v="3"/>
    <x v="1"/>
    <x v="3"/>
    <x v="0"/>
    <x v="0"/>
    <x v="1"/>
  </r>
  <r>
    <x v="52"/>
    <x v="1"/>
    <x v="2"/>
    <x v="3"/>
    <x v="51"/>
    <x v="60"/>
    <x v="60"/>
    <x v="60"/>
    <x v="1"/>
    <x v="0"/>
    <x v="4"/>
    <x v="0"/>
    <x v="0"/>
    <x v="1"/>
  </r>
  <r>
    <x v="53"/>
    <x v="3"/>
    <x v="4"/>
    <x v="2"/>
    <x v="8"/>
    <x v="61"/>
    <x v="61"/>
    <x v="61"/>
    <x v="0"/>
    <x v="0"/>
    <x v="1"/>
    <x v="0"/>
    <x v="0"/>
    <x v="1"/>
  </r>
  <r>
    <x v="54"/>
    <x v="2"/>
    <x v="2"/>
    <x v="0"/>
    <x v="52"/>
    <x v="62"/>
    <x v="62"/>
    <x v="62"/>
    <x v="2"/>
    <x v="0"/>
    <x v="3"/>
    <x v="0"/>
    <x v="0"/>
    <x v="0"/>
  </r>
  <r>
    <x v="55"/>
    <x v="3"/>
    <x v="3"/>
    <x v="0"/>
    <x v="53"/>
    <x v="63"/>
    <x v="63"/>
    <x v="63"/>
    <x v="2"/>
    <x v="0"/>
    <x v="5"/>
    <x v="0"/>
    <x v="0"/>
    <x v="0"/>
  </r>
  <r>
    <x v="7"/>
    <x v="3"/>
    <x v="1"/>
    <x v="3"/>
    <x v="54"/>
    <x v="64"/>
    <x v="64"/>
    <x v="64"/>
    <x v="1"/>
    <x v="0"/>
    <x v="2"/>
    <x v="0"/>
    <x v="0"/>
    <x v="1"/>
  </r>
  <r>
    <x v="15"/>
    <x v="1"/>
    <x v="1"/>
    <x v="3"/>
    <x v="49"/>
    <x v="65"/>
    <x v="65"/>
    <x v="65"/>
    <x v="3"/>
    <x v="0"/>
    <x v="0"/>
    <x v="0"/>
    <x v="0"/>
    <x v="1"/>
  </r>
  <r>
    <x v="56"/>
    <x v="3"/>
    <x v="4"/>
    <x v="1"/>
    <x v="55"/>
    <x v="66"/>
    <x v="66"/>
    <x v="66"/>
    <x v="3"/>
    <x v="0"/>
    <x v="4"/>
    <x v="0"/>
    <x v="0"/>
    <x v="1"/>
  </r>
  <r>
    <x v="30"/>
    <x v="3"/>
    <x v="2"/>
    <x v="0"/>
    <x v="38"/>
    <x v="67"/>
    <x v="67"/>
    <x v="67"/>
    <x v="2"/>
    <x v="0"/>
    <x v="3"/>
    <x v="0"/>
    <x v="0"/>
    <x v="0"/>
  </r>
  <r>
    <x v="2"/>
    <x v="2"/>
    <x v="1"/>
    <x v="0"/>
    <x v="56"/>
    <x v="68"/>
    <x v="68"/>
    <x v="68"/>
    <x v="2"/>
    <x v="0"/>
    <x v="0"/>
    <x v="0"/>
    <x v="0"/>
    <x v="0"/>
  </r>
  <r>
    <x v="44"/>
    <x v="0"/>
    <x v="4"/>
    <x v="2"/>
    <x v="57"/>
    <x v="69"/>
    <x v="69"/>
    <x v="69"/>
    <x v="3"/>
    <x v="0"/>
    <x v="2"/>
    <x v="0"/>
    <x v="0"/>
    <x v="1"/>
  </r>
  <r>
    <x v="57"/>
    <x v="1"/>
    <x v="2"/>
    <x v="0"/>
    <x v="30"/>
    <x v="70"/>
    <x v="70"/>
    <x v="70"/>
    <x v="1"/>
    <x v="0"/>
    <x v="0"/>
    <x v="0"/>
    <x v="0"/>
    <x v="0"/>
  </r>
  <r>
    <x v="58"/>
    <x v="0"/>
    <x v="3"/>
    <x v="2"/>
    <x v="58"/>
    <x v="71"/>
    <x v="71"/>
    <x v="71"/>
    <x v="1"/>
    <x v="0"/>
    <x v="4"/>
    <x v="0"/>
    <x v="0"/>
    <x v="1"/>
  </r>
  <r>
    <x v="59"/>
    <x v="3"/>
    <x v="3"/>
    <x v="2"/>
    <x v="10"/>
    <x v="72"/>
    <x v="72"/>
    <x v="72"/>
    <x v="3"/>
    <x v="0"/>
    <x v="0"/>
    <x v="0"/>
    <x v="0"/>
    <x v="1"/>
  </r>
  <r>
    <x v="60"/>
    <x v="1"/>
    <x v="3"/>
    <x v="3"/>
    <x v="59"/>
    <x v="73"/>
    <x v="73"/>
    <x v="73"/>
    <x v="1"/>
    <x v="0"/>
    <x v="1"/>
    <x v="0"/>
    <x v="0"/>
    <x v="1"/>
  </r>
  <r>
    <x v="40"/>
    <x v="3"/>
    <x v="2"/>
    <x v="1"/>
    <x v="60"/>
    <x v="74"/>
    <x v="74"/>
    <x v="74"/>
    <x v="0"/>
    <x v="0"/>
    <x v="0"/>
    <x v="0"/>
    <x v="0"/>
    <x v="1"/>
  </r>
  <r>
    <x v="61"/>
    <x v="0"/>
    <x v="3"/>
    <x v="1"/>
    <x v="61"/>
    <x v="75"/>
    <x v="75"/>
    <x v="75"/>
    <x v="1"/>
    <x v="0"/>
    <x v="3"/>
    <x v="0"/>
    <x v="0"/>
    <x v="1"/>
  </r>
  <r>
    <x v="62"/>
    <x v="1"/>
    <x v="4"/>
    <x v="0"/>
    <x v="62"/>
    <x v="76"/>
    <x v="76"/>
    <x v="76"/>
    <x v="1"/>
    <x v="0"/>
    <x v="1"/>
    <x v="0"/>
    <x v="0"/>
    <x v="0"/>
  </r>
  <r>
    <x v="63"/>
    <x v="2"/>
    <x v="2"/>
    <x v="2"/>
    <x v="46"/>
    <x v="77"/>
    <x v="77"/>
    <x v="77"/>
    <x v="0"/>
    <x v="0"/>
    <x v="2"/>
    <x v="0"/>
    <x v="0"/>
    <x v="1"/>
  </r>
  <r>
    <x v="48"/>
    <x v="2"/>
    <x v="2"/>
    <x v="1"/>
    <x v="63"/>
    <x v="78"/>
    <x v="78"/>
    <x v="78"/>
    <x v="2"/>
    <x v="0"/>
    <x v="1"/>
    <x v="0"/>
    <x v="0"/>
    <x v="1"/>
  </r>
  <r>
    <x v="64"/>
    <x v="1"/>
    <x v="4"/>
    <x v="0"/>
    <x v="64"/>
    <x v="79"/>
    <x v="79"/>
    <x v="79"/>
    <x v="0"/>
    <x v="1"/>
    <x v="1"/>
    <x v="0"/>
    <x v="0"/>
    <x v="0"/>
  </r>
  <r>
    <x v="65"/>
    <x v="1"/>
    <x v="2"/>
    <x v="0"/>
    <x v="65"/>
    <x v="80"/>
    <x v="80"/>
    <x v="80"/>
    <x v="2"/>
    <x v="0"/>
    <x v="2"/>
    <x v="0"/>
    <x v="0"/>
    <x v="0"/>
  </r>
  <r>
    <x v="17"/>
    <x v="1"/>
    <x v="1"/>
    <x v="2"/>
    <x v="66"/>
    <x v="81"/>
    <x v="81"/>
    <x v="81"/>
    <x v="0"/>
    <x v="0"/>
    <x v="0"/>
    <x v="0"/>
    <x v="0"/>
    <x v="1"/>
  </r>
  <r>
    <x v="24"/>
    <x v="1"/>
    <x v="4"/>
    <x v="1"/>
    <x v="67"/>
    <x v="82"/>
    <x v="82"/>
    <x v="82"/>
    <x v="0"/>
    <x v="0"/>
    <x v="3"/>
    <x v="0"/>
    <x v="0"/>
    <x v="1"/>
  </r>
  <r>
    <x v="66"/>
    <x v="0"/>
    <x v="4"/>
    <x v="1"/>
    <x v="58"/>
    <x v="83"/>
    <x v="83"/>
    <x v="83"/>
    <x v="0"/>
    <x v="0"/>
    <x v="5"/>
    <x v="0"/>
    <x v="0"/>
    <x v="1"/>
  </r>
  <r>
    <x v="67"/>
    <x v="2"/>
    <x v="0"/>
    <x v="3"/>
    <x v="31"/>
    <x v="84"/>
    <x v="84"/>
    <x v="84"/>
    <x v="3"/>
    <x v="1"/>
    <x v="1"/>
    <x v="0"/>
    <x v="0"/>
    <x v="1"/>
  </r>
  <r>
    <x v="32"/>
    <x v="3"/>
    <x v="2"/>
    <x v="0"/>
    <x v="68"/>
    <x v="85"/>
    <x v="85"/>
    <x v="85"/>
    <x v="0"/>
    <x v="0"/>
    <x v="3"/>
    <x v="0"/>
    <x v="0"/>
    <x v="0"/>
  </r>
  <r>
    <x v="68"/>
    <x v="2"/>
    <x v="2"/>
    <x v="1"/>
    <x v="69"/>
    <x v="86"/>
    <x v="86"/>
    <x v="86"/>
    <x v="3"/>
    <x v="1"/>
    <x v="4"/>
    <x v="0"/>
    <x v="0"/>
    <x v="1"/>
  </r>
  <r>
    <x v="69"/>
    <x v="3"/>
    <x v="1"/>
    <x v="0"/>
    <x v="47"/>
    <x v="87"/>
    <x v="87"/>
    <x v="87"/>
    <x v="0"/>
    <x v="0"/>
    <x v="1"/>
    <x v="0"/>
    <x v="0"/>
    <x v="0"/>
  </r>
  <r>
    <x v="70"/>
    <x v="1"/>
    <x v="3"/>
    <x v="2"/>
    <x v="43"/>
    <x v="88"/>
    <x v="88"/>
    <x v="88"/>
    <x v="1"/>
    <x v="0"/>
    <x v="0"/>
    <x v="0"/>
    <x v="0"/>
    <x v="1"/>
  </r>
  <r>
    <x v="71"/>
    <x v="2"/>
    <x v="2"/>
    <x v="0"/>
    <x v="70"/>
    <x v="89"/>
    <x v="89"/>
    <x v="89"/>
    <x v="2"/>
    <x v="0"/>
    <x v="5"/>
    <x v="0"/>
    <x v="0"/>
    <x v="0"/>
  </r>
  <r>
    <x v="19"/>
    <x v="1"/>
    <x v="1"/>
    <x v="1"/>
    <x v="71"/>
    <x v="90"/>
    <x v="90"/>
    <x v="90"/>
    <x v="2"/>
    <x v="0"/>
    <x v="0"/>
    <x v="0"/>
    <x v="0"/>
    <x v="1"/>
  </r>
  <r>
    <x v="72"/>
    <x v="2"/>
    <x v="0"/>
    <x v="2"/>
    <x v="14"/>
    <x v="91"/>
    <x v="91"/>
    <x v="91"/>
    <x v="2"/>
    <x v="0"/>
    <x v="3"/>
    <x v="0"/>
    <x v="0"/>
    <x v="1"/>
  </r>
  <r>
    <x v="16"/>
    <x v="2"/>
    <x v="2"/>
    <x v="1"/>
    <x v="72"/>
    <x v="92"/>
    <x v="92"/>
    <x v="92"/>
    <x v="0"/>
    <x v="0"/>
    <x v="4"/>
    <x v="0"/>
    <x v="0"/>
    <x v="1"/>
  </r>
  <r>
    <x v="73"/>
    <x v="0"/>
    <x v="2"/>
    <x v="0"/>
    <x v="59"/>
    <x v="93"/>
    <x v="93"/>
    <x v="93"/>
    <x v="1"/>
    <x v="0"/>
    <x v="1"/>
    <x v="0"/>
    <x v="0"/>
    <x v="0"/>
  </r>
  <r>
    <x v="74"/>
    <x v="0"/>
    <x v="2"/>
    <x v="3"/>
    <x v="73"/>
    <x v="94"/>
    <x v="94"/>
    <x v="94"/>
    <x v="3"/>
    <x v="0"/>
    <x v="4"/>
    <x v="0"/>
    <x v="0"/>
    <x v="1"/>
  </r>
  <r>
    <x v="75"/>
    <x v="1"/>
    <x v="0"/>
    <x v="1"/>
    <x v="57"/>
    <x v="95"/>
    <x v="95"/>
    <x v="95"/>
    <x v="3"/>
    <x v="0"/>
    <x v="2"/>
    <x v="0"/>
    <x v="0"/>
    <x v="1"/>
  </r>
  <r>
    <x v="76"/>
    <x v="3"/>
    <x v="1"/>
    <x v="3"/>
    <x v="74"/>
    <x v="96"/>
    <x v="96"/>
    <x v="96"/>
    <x v="1"/>
    <x v="0"/>
    <x v="5"/>
    <x v="0"/>
    <x v="0"/>
    <x v="1"/>
  </r>
  <r>
    <x v="77"/>
    <x v="1"/>
    <x v="3"/>
    <x v="2"/>
    <x v="3"/>
    <x v="97"/>
    <x v="97"/>
    <x v="97"/>
    <x v="0"/>
    <x v="0"/>
    <x v="0"/>
    <x v="0"/>
    <x v="0"/>
    <x v="1"/>
  </r>
  <r>
    <x v="78"/>
    <x v="3"/>
    <x v="4"/>
    <x v="1"/>
    <x v="55"/>
    <x v="98"/>
    <x v="98"/>
    <x v="98"/>
    <x v="3"/>
    <x v="0"/>
    <x v="0"/>
    <x v="0"/>
    <x v="0"/>
    <x v="1"/>
  </r>
  <r>
    <x v="36"/>
    <x v="0"/>
    <x v="2"/>
    <x v="0"/>
    <x v="75"/>
    <x v="99"/>
    <x v="99"/>
    <x v="99"/>
    <x v="3"/>
    <x v="0"/>
    <x v="3"/>
    <x v="0"/>
    <x v="0"/>
    <x v="0"/>
  </r>
  <r>
    <x v="60"/>
    <x v="3"/>
    <x v="3"/>
    <x v="3"/>
    <x v="44"/>
    <x v="100"/>
    <x v="100"/>
    <x v="100"/>
    <x v="1"/>
    <x v="0"/>
    <x v="1"/>
    <x v="0"/>
    <x v="0"/>
    <x v="1"/>
  </r>
  <r>
    <x v="79"/>
    <x v="2"/>
    <x v="1"/>
    <x v="1"/>
    <x v="76"/>
    <x v="101"/>
    <x v="101"/>
    <x v="101"/>
    <x v="3"/>
    <x v="1"/>
    <x v="4"/>
    <x v="0"/>
    <x v="0"/>
    <x v="1"/>
  </r>
  <r>
    <x v="80"/>
    <x v="3"/>
    <x v="3"/>
    <x v="0"/>
    <x v="77"/>
    <x v="102"/>
    <x v="102"/>
    <x v="102"/>
    <x v="1"/>
    <x v="0"/>
    <x v="4"/>
    <x v="0"/>
    <x v="0"/>
    <x v="0"/>
  </r>
  <r>
    <x v="81"/>
    <x v="2"/>
    <x v="1"/>
    <x v="2"/>
    <x v="63"/>
    <x v="103"/>
    <x v="103"/>
    <x v="103"/>
    <x v="2"/>
    <x v="0"/>
    <x v="5"/>
    <x v="0"/>
    <x v="0"/>
    <x v="1"/>
  </r>
  <r>
    <x v="4"/>
    <x v="0"/>
    <x v="2"/>
    <x v="0"/>
    <x v="78"/>
    <x v="104"/>
    <x v="104"/>
    <x v="104"/>
    <x v="3"/>
    <x v="1"/>
    <x v="1"/>
    <x v="0"/>
    <x v="0"/>
    <x v="0"/>
  </r>
  <r>
    <x v="4"/>
    <x v="2"/>
    <x v="0"/>
    <x v="0"/>
    <x v="19"/>
    <x v="105"/>
    <x v="105"/>
    <x v="105"/>
    <x v="2"/>
    <x v="0"/>
    <x v="1"/>
    <x v="0"/>
    <x v="0"/>
    <x v="0"/>
  </r>
  <r>
    <x v="18"/>
    <x v="2"/>
    <x v="0"/>
    <x v="2"/>
    <x v="79"/>
    <x v="106"/>
    <x v="106"/>
    <x v="106"/>
    <x v="0"/>
    <x v="0"/>
    <x v="2"/>
    <x v="0"/>
    <x v="0"/>
    <x v="1"/>
  </r>
  <r>
    <x v="43"/>
    <x v="2"/>
    <x v="3"/>
    <x v="2"/>
    <x v="57"/>
    <x v="107"/>
    <x v="107"/>
    <x v="107"/>
    <x v="3"/>
    <x v="0"/>
    <x v="5"/>
    <x v="0"/>
    <x v="0"/>
    <x v="1"/>
  </r>
  <r>
    <x v="46"/>
    <x v="0"/>
    <x v="1"/>
    <x v="0"/>
    <x v="28"/>
    <x v="108"/>
    <x v="108"/>
    <x v="108"/>
    <x v="2"/>
    <x v="0"/>
    <x v="0"/>
    <x v="0"/>
    <x v="0"/>
    <x v="0"/>
  </r>
  <r>
    <x v="56"/>
    <x v="1"/>
    <x v="4"/>
    <x v="0"/>
    <x v="72"/>
    <x v="109"/>
    <x v="109"/>
    <x v="109"/>
    <x v="0"/>
    <x v="0"/>
    <x v="4"/>
    <x v="0"/>
    <x v="0"/>
    <x v="0"/>
  </r>
  <r>
    <x v="82"/>
    <x v="0"/>
    <x v="3"/>
    <x v="1"/>
    <x v="60"/>
    <x v="110"/>
    <x v="110"/>
    <x v="110"/>
    <x v="0"/>
    <x v="1"/>
    <x v="3"/>
    <x v="0"/>
    <x v="0"/>
    <x v="1"/>
  </r>
  <r>
    <x v="77"/>
    <x v="0"/>
    <x v="3"/>
    <x v="0"/>
    <x v="80"/>
    <x v="111"/>
    <x v="111"/>
    <x v="111"/>
    <x v="2"/>
    <x v="0"/>
    <x v="0"/>
    <x v="0"/>
    <x v="0"/>
    <x v="0"/>
  </r>
  <r>
    <x v="83"/>
    <x v="2"/>
    <x v="0"/>
    <x v="2"/>
    <x v="72"/>
    <x v="112"/>
    <x v="112"/>
    <x v="112"/>
    <x v="0"/>
    <x v="0"/>
    <x v="1"/>
    <x v="0"/>
    <x v="0"/>
    <x v="1"/>
  </r>
  <r>
    <x v="84"/>
    <x v="2"/>
    <x v="1"/>
    <x v="3"/>
    <x v="24"/>
    <x v="113"/>
    <x v="113"/>
    <x v="113"/>
    <x v="1"/>
    <x v="0"/>
    <x v="0"/>
    <x v="0"/>
    <x v="0"/>
    <x v="1"/>
  </r>
  <r>
    <x v="85"/>
    <x v="0"/>
    <x v="4"/>
    <x v="2"/>
    <x v="81"/>
    <x v="114"/>
    <x v="114"/>
    <x v="114"/>
    <x v="2"/>
    <x v="0"/>
    <x v="1"/>
    <x v="0"/>
    <x v="0"/>
    <x v="1"/>
  </r>
  <r>
    <x v="1"/>
    <x v="3"/>
    <x v="0"/>
    <x v="2"/>
    <x v="61"/>
    <x v="115"/>
    <x v="115"/>
    <x v="115"/>
    <x v="2"/>
    <x v="0"/>
    <x v="0"/>
    <x v="0"/>
    <x v="0"/>
    <x v="1"/>
  </r>
  <r>
    <x v="49"/>
    <x v="0"/>
    <x v="1"/>
    <x v="0"/>
    <x v="82"/>
    <x v="116"/>
    <x v="116"/>
    <x v="116"/>
    <x v="3"/>
    <x v="0"/>
    <x v="3"/>
    <x v="0"/>
    <x v="0"/>
    <x v="0"/>
  </r>
  <r>
    <x v="86"/>
    <x v="2"/>
    <x v="1"/>
    <x v="1"/>
    <x v="83"/>
    <x v="117"/>
    <x v="117"/>
    <x v="117"/>
    <x v="3"/>
    <x v="1"/>
    <x v="4"/>
    <x v="0"/>
    <x v="0"/>
    <x v="1"/>
  </r>
  <r>
    <x v="87"/>
    <x v="1"/>
    <x v="3"/>
    <x v="2"/>
    <x v="84"/>
    <x v="118"/>
    <x v="118"/>
    <x v="118"/>
    <x v="1"/>
    <x v="0"/>
    <x v="3"/>
    <x v="0"/>
    <x v="0"/>
    <x v="1"/>
  </r>
  <r>
    <x v="10"/>
    <x v="1"/>
    <x v="2"/>
    <x v="0"/>
    <x v="85"/>
    <x v="119"/>
    <x v="119"/>
    <x v="119"/>
    <x v="2"/>
    <x v="0"/>
    <x v="0"/>
    <x v="0"/>
    <x v="0"/>
    <x v="0"/>
  </r>
  <r>
    <x v="88"/>
    <x v="0"/>
    <x v="3"/>
    <x v="1"/>
    <x v="86"/>
    <x v="120"/>
    <x v="120"/>
    <x v="120"/>
    <x v="3"/>
    <x v="1"/>
    <x v="1"/>
    <x v="0"/>
    <x v="0"/>
    <x v="1"/>
  </r>
  <r>
    <x v="89"/>
    <x v="3"/>
    <x v="1"/>
    <x v="0"/>
    <x v="41"/>
    <x v="121"/>
    <x v="121"/>
    <x v="121"/>
    <x v="2"/>
    <x v="0"/>
    <x v="1"/>
    <x v="0"/>
    <x v="0"/>
    <x v="0"/>
  </r>
  <r>
    <x v="3"/>
    <x v="3"/>
    <x v="2"/>
    <x v="0"/>
    <x v="87"/>
    <x v="122"/>
    <x v="122"/>
    <x v="122"/>
    <x v="1"/>
    <x v="0"/>
    <x v="0"/>
    <x v="0"/>
    <x v="0"/>
    <x v="0"/>
  </r>
  <r>
    <x v="56"/>
    <x v="3"/>
    <x v="2"/>
    <x v="3"/>
    <x v="88"/>
    <x v="123"/>
    <x v="123"/>
    <x v="123"/>
    <x v="2"/>
    <x v="0"/>
    <x v="4"/>
    <x v="0"/>
    <x v="0"/>
    <x v="1"/>
  </r>
  <r>
    <x v="90"/>
    <x v="2"/>
    <x v="2"/>
    <x v="1"/>
    <x v="89"/>
    <x v="124"/>
    <x v="124"/>
    <x v="124"/>
    <x v="3"/>
    <x v="0"/>
    <x v="3"/>
    <x v="0"/>
    <x v="0"/>
    <x v="1"/>
  </r>
  <r>
    <x v="69"/>
    <x v="0"/>
    <x v="2"/>
    <x v="0"/>
    <x v="80"/>
    <x v="125"/>
    <x v="125"/>
    <x v="125"/>
    <x v="3"/>
    <x v="0"/>
    <x v="1"/>
    <x v="0"/>
    <x v="0"/>
    <x v="0"/>
  </r>
  <r>
    <x v="91"/>
    <x v="2"/>
    <x v="2"/>
    <x v="3"/>
    <x v="90"/>
    <x v="126"/>
    <x v="126"/>
    <x v="126"/>
    <x v="3"/>
    <x v="0"/>
    <x v="3"/>
    <x v="0"/>
    <x v="0"/>
    <x v="1"/>
  </r>
  <r>
    <x v="92"/>
    <x v="1"/>
    <x v="2"/>
    <x v="3"/>
    <x v="91"/>
    <x v="127"/>
    <x v="127"/>
    <x v="127"/>
    <x v="0"/>
    <x v="1"/>
    <x v="3"/>
    <x v="0"/>
    <x v="0"/>
    <x v="1"/>
  </r>
  <r>
    <x v="93"/>
    <x v="2"/>
    <x v="2"/>
    <x v="2"/>
    <x v="92"/>
    <x v="128"/>
    <x v="128"/>
    <x v="128"/>
    <x v="3"/>
    <x v="0"/>
    <x v="2"/>
    <x v="0"/>
    <x v="0"/>
    <x v="1"/>
  </r>
  <r>
    <x v="44"/>
    <x v="1"/>
    <x v="4"/>
    <x v="1"/>
    <x v="93"/>
    <x v="129"/>
    <x v="129"/>
    <x v="129"/>
    <x v="0"/>
    <x v="1"/>
    <x v="2"/>
    <x v="0"/>
    <x v="0"/>
    <x v="1"/>
  </r>
  <r>
    <x v="38"/>
    <x v="3"/>
    <x v="4"/>
    <x v="3"/>
    <x v="81"/>
    <x v="130"/>
    <x v="130"/>
    <x v="130"/>
    <x v="1"/>
    <x v="0"/>
    <x v="1"/>
    <x v="0"/>
    <x v="0"/>
    <x v="1"/>
  </r>
  <r>
    <x v="6"/>
    <x v="0"/>
    <x v="4"/>
    <x v="1"/>
    <x v="94"/>
    <x v="131"/>
    <x v="131"/>
    <x v="131"/>
    <x v="3"/>
    <x v="1"/>
    <x v="3"/>
    <x v="0"/>
    <x v="0"/>
    <x v="1"/>
  </r>
  <r>
    <x v="39"/>
    <x v="0"/>
    <x v="1"/>
    <x v="3"/>
    <x v="32"/>
    <x v="132"/>
    <x v="132"/>
    <x v="132"/>
    <x v="2"/>
    <x v="0"/>
    <x v="0"/>
    <x v="0"/>
    <x v="0"/>
    <x v="1"/>
  </r>
  <r>
    <x v="94"/>
    <x v="3"/>
    <x v="0"/>
    <x v="0"/>
    <x v="95"/>
    <x v="133"/>
    <x v="133"/>
    <x v="133"/>
    <x v="3"/>
    <x v="0"/>
    <x v="5"/>
    <x v="0"/>
    <x v="0"/>
    <x v="0"/>
  </r>
  <r>
    <x v="95"/>
    <x v="1"/>
    <x v="4"/>
    <x v="2"/>
    <x v="96"/>
    <x v="134"/>
    <x v="134"/>
    <x v="134"/>
    <x v="2"/>
    <x v="0"/>
    <x v="4"/>
    <x v="0"/>
    <x v="0"/>
    <x v="1"/>
  </r>
  <r>
    <x v="66"/>
    <x v="2"/>
    <x v="1"/>
    <x v="1"/>
    <x v="61"/>
    <x v="135"/>
    <x v="135"/>
    <x v="135"/>
    <x v="1"/>
    <x v="0"/>
    <x v="5"/>
    <x v="0"/>
    <x v="0"/>
    <x v="1"/>
  </r>
  <r>
    <x v="42"/>
    <x v="3"/>
    <x v="1"/>
    <x v="0"/>
    <x v="20"/>
    <x v="136"/>
    <x v="136"/>
    <x v="136"/>
    <x v="2"/>
    <x v="0"/>
    <x v="4"/>
    <x v="0"/>
    <x v="0"/>
    <x v="0"/>
  </r>
  <r>
    <x v="73"/>
    <x v="0"/>
    <x v="4"/>
    <x v="2"/>
    <x v="97"/>
    <x v="137"/>
    <x v="137"/>
    <x v="137"/>
    <x v="0"/>
    <x v="0"/>
    <x v="1"/>
    <x v="0"/>
    <x v="0"/>
    <x v="1"/>
  </r>
  <r>
    <x v="79"/>
    <x v="3"/>
    <x v="4"/>
    <x v="0"/>
    <x v="27"/>
    <x v="138"/>
    <x v="138"/>
    <x v="138"/>
    <x v="0"/>
    <x v="0"/>
    <x v="4"/>
    <x v="0"/>
    <x v="0"/>
    <x v="0"/>
  </r>
  <r>
    <x v="96"/>
    <x v="0"/>
    <x v="0"/>
    <x v="1"/>
    <x v="15"/>
    <x v="139"/>
    <x v="139"/>
    <x v="139"/>
    <x v="0"/>
    <x v="1"/>
    <x v="2"/>
    <x v="0"/>
    <x v="0"/>
    <x v="1"/>
  </r>
  <r>
    <x v="97"/>
    <x v="0"/>
    <x v="1"/>
    <x v="1"/>
    <x v="98"/>
    <x v="140"/>
    <x v="140"/>
    <x v="140"/>
    <x v="3"/>
    <x v="1"/>
    <x v="5"/>
    <x v="0"/>
    <x v="0"/>
    <x v="1"/>
  </r>
  <r>
    <x v="98"/>
    <x v="2"/>
    <x v="1"/>
    <x v="1"/>
    <x v="27"/>
    <x v="141"/>
    <x v="141"/>
    <x v="141"/>
    <x v="0"/>
    <x v="0"/>
    <x v="0"/>
    <x v="0"/>
    <x v="0"/>
    <x v="1"/>
  </r>
  <r>
    <x v="3"/>
    <x v="1"/>
    <x v="2"/>
    <x v="1"/>
    <x v="20"/>
    <x v="142"/>
    <x v="142"/>
    <x v="142"/>
    <x v="1"/>
    <x v="0"/>
    <x v="0"/>
    <x v="0"/>
    <x v="0"/>
    <x v="1"/>
  </r>
  <r>
    <x v="99"/>
    <x v="2"/>
    <x v="2"/>
    <x v="2"/>
    <x v="45"/>
    <x v="143"/>
    <x v="143"/>
    <x v="143"/>
    <x v="1"/>
    <x v="0"/>
    <x v="5"/>
    <x v="0"/>
    <x v="0"/>
    <x v="1"/>
  </r>
  <r>
    <x v="100"/>
    <x v="1"/>
    <x v="3"/>
    <x v="1"/>
    <x v="79"/>
    <x v="144"/>
    <x v="144"/>
    <x v="144"/>
    <x v="0"/>
    <x v="0"/>
    <x v="2"/>
    <x v="0"/>
    <x v="0"/>
    <x v="1"/>
  </r>
  <r>
    <x v="61"/>
    <x v="1"/>
    <x v="1"/>
    <x v="2"/>
    <x v="70"/>
    <x v="145"/>
    <x v="145"/>
    <x v="145"/>
    <x v="2"/>
    <x v="0"/>
    <x v="3"/>
    <x v="0"/>
    <x v="0"/>
    <x v="1"/>
  </r>
  <r>
    <x v="31"/>
    <x v="0"/>
    <x v="3"/>
    <x v="0"/>
    <x v="58"/>
    <x v="146"/>
    <x v="146"/>
    <x v="146"/>
    <x v="1"/>
    <x v="0"/>
    <x v="0"/>
    <x v="0"/>
    <x v="0"/>
    <x v="0"/>
  </r>
  <r>
    <x v="101"/>
    <x v="2"/>
    <x v="2"/>
    <x v="0"/>
    <x v="99"/>
    <x v="147"/>
    <x v="147"/>
    <x v="147"/>
    <x v="1"/>
    <x v="0"/>
    <x v="1"/>
    <x v="0"/>
    <x v="0"/>
    <x v="0"/>
  </r>
  <r>
    <x v="89"/>
    <x v="2"/>
    <x v="0"/>
    <x v="2"/>
    <x v="100"/>
    <x v="148"/>
    <x v="148"/>
    <x v="148"/>
    <x v="2"/>
    <x v="0"/>
    <x v="1"/>
    <x v="0"/>
    <x v="0"/>
    <x v="1"/>
  </r>
  <r>
    <x v="102"/>
    <x v="3"/>
    <x v="2"/>
    <x v="2"/>
    <x v="75"/>
    <x v="149"/>
    <x v="149"/>
    <x v="149"/>
    <x v="1"/>
    <x v="0"/>
    <x v="4"/>
    <x v="0"/>
    <x v="0"/>
    <x v="1"/>
  </r>
  <r>
    <x v="103"/>
    <x v="1"/>
    <x v="3"/>
    <x v="1"/>
    <x v="101"/>
    <x v="150"/>
    <x v="150"/>
    <x v="150"/>
    <x v="1"/>
    <x v="0"/>
    <x v="3"/>
    <x v="0"/>
    <x v="0"/>
    <x v="1"/>
  </r>
  <r>
    <x v="65"/>
    <x v="3"/>
    <x v="3"/>
    <x v="3"/>
    <x v="102"/>
    <x v="151"/>
    <x v="151"/>
    <x v="151"/>
    <x v="0"/>
    <x v="1"/>
    <x v="2"/>
    <x v="0"/>
    <x v="0"/>
    <x v="1"/>
  </r>
  <r>
    <x v="29"/>
    <x v="1"/>
    <x v="0"/>
    <x v="3"/>
    <x v="103"/>
    <x v="152"/>
    <x v="152"/>
    <x v="152"/>
    <x v="0"/>
    <x v="0"/>
    <x v="5"/>
    <x v="0"/>
    <x v="0"/>
    <x v="1"/>
  </r>
  <r>
    <x v="104"/>
    <x v="1"/>
    <x v="0"/>
    <x v="1"/>
    <x v="93"/>
    <x v="153"/>
    <x v="153"/>
    <x v="153"/>
    <x v="3"/>
    <x v="1"/>
    <x v="2"/>
    <x v="0"/>
    <x v="0"/>
    <x v="1"/>
  </r>
  <r>
    <x v="88"/>
    <x v="2"/>
    <x v="0"/>
    <x v="1"/>
    <x v="88"/>
    <x v="154"/>
    <x v="154"/>
    <x v="154"/>
    <x v="2"/>
    <x v="0"/>
    <x v="1"/>
    <x v="0"/>
    <x v="0"/>
    <x v="1"/>
  </r>
  <r>
    <x v="53"/>
    <x v="2"/>
    <x v="0"/>
    <x v="2"/>
    <x v="104"/>
    <x v="155"/>
    <x v="155"/>
    <x v="155"/>
    <x v="0"/>
    <x v="0"/>
    <x v="1"/>
    <x v="0"/>
    <x v="0"/>
    <x v="1"/>
  </r>
  <r>
    <x v="105"/>
    <x v="3"/>
    <x v="1"/>
    <x v="3"/>
    <x v="31"/>
    <x v="156"/>
    <x v="156"/>
    <x v="156"/>
    <x v="0"/>
    <x v="1"/>
    <x v="5"/>
    <x v="0"/>
    <x v="0"/>
    <x v="1"/>
  </r>
  <r>
    <x v="74"/>
    <x v="0"/>
    <x v="3"/>
    <x v="3"/>
    <x v="104"/>
    <x v="157"/>
    <x v="157"/>
    <x v="157"/>
    <x v="1"/>
    <x v="0"/>
    <x v="4"/>
    <x v="0"/>
    <x v="0"/>
    <x v="1"/>
  </r>
  <r>
    <x v="106"/>
    <x v="1"/>
    <x v="3"/>
    <x v="0"/>
    <x v="105"/>
    <x v="158"/>
    <x v="158"/>
    <x v="158"/>
    <x v="0"/>
    <x v="0"/>
    <x v="0"/>
    <x v="0"/>
    <x v="0"/>
    <x v="0"/>
  </r>
  <r>
    <x v="107"/>
    <x v="3"/>
    <x v="0"/>
    <x v="1"/>
    <x v="106"/>
    <x v="159"/>
    <x v="159"/>
    <x v="159"/>
    <x v="3"/>
    <x v="0"/>
    <x v="1"/>
    <x v="0"/>
    <x v="0"/>
    <x v="1"/>
  </r>
  <r>
    <x v="108"/>
    <x v="3"/>
    <x v="3"/>
    <x v="3"/>
    <x v="42"/>
    <x v="160"/>
    <x v="160"/>
    <x v="160"/>
    <x v="0"/>
    <x v="0"/>
    <x v="1"/>
    <x v="0"/>
    <x v="0"/>
    <x v="1"/>
  </r>
  <r>
    <x v="37"/>
    <x v="2"/>
    <x v="2"/>
    <x v="0"/>
    <x v="11"/>
    <x v="161"/>
    <x v="161"/>
    <x v="161"/>
    <x v="3"/>
    <x v="0"/>
    <x v="1"/>
    <x v="0"/>
    <x v="0"/>
    <x v="0"/>
  </r>
  <r>
    <x v="53"/>
    <x v="3"/>
    <x v="0"/>
    <x v="2"/>
    <x v="41"/>
    <x v="162"/>
    <x v="162"/>
    <x v="162"/>
    <x v="0"/>
    <x v="1"/>
    <x v="1"/>
    <x v="0"/>
    <x v="0"/>
    <x v="1"/>
  </r>
  <r>
    <x v="109"/>
    <x v="3"/>
    <x v="3"/>
    <x v="1"/>
    <x v="107"/>
    <x v="163"/>
    <x v="163"/>
    <x v="163"/>
    <x v="1"/>
    <x v="0"/>
    <x v="3"/>
    <x v="0"/>
    <x v="0"/>
    <x v="1"/>
  </r>
  <r>
    <x v="52"/>
    <x v="3"/>
    <x v="2"/>
    <x v="2"/>
    <x v="34"/>
    <x v="164"/>
    <x v="164"/>
    <x v="164"/>
    <x v="2"/>
    <x v="0"/>
    <x v="4"/>
    <x v="0"/>
    <x v="0"/>
    <x v="1"/>
  </r>
  <r>
    <x v="108"/>
    <x v="0"/>
    <x v="2"/>
    <x v="1"/>
    <x v="108"/>
    <x v="165"/>
    <x v="165"/>
    <x v="165"/>
    <x v="0"/>
    <x v="0"/>
    <x v="1"/>
    <x v="0"/>
    <x v="0"/>
    <x v="1"/>
  </r>
  <r>
    <x v="21"/>
    <x v="1"/>
    <x v="3"/>
    <x v="2"/>
    <x v="57"/>
    <x v="166"/>
    <x v="166"/>
    <x v="166"/>
    <x v="0"/>
    <x v="0"/>
    <x v="0"/>
    <x v="0"/>
    <x v="0"/>
    <x v="1"/>
  </r>
  <r>
    <x v="2"/>
    <x v="0"/>
    <x v="1"/>
    <x v="2"/>
    <x v="95"/>
    <x v="167"/>
    <x v="167"/>
    <x v="167"/>
    <x v="0"/>
    <x v="0"/>
    <x v="0"/>
    <x v="0"/>
    <x v="0"/>
    <x v="1"/>
  </r>
  <r>
    <x v="4"/>
    <x v="0"/>
    <x v="0"/>
    <x v="1"/>
    <x v="109"/>
    <x v="168"/>
    <x v="168"/>
    <x v="168"/>
    <x v="2"/>
    <x v="0"/>
    <x v="1"/>
    <x v="0"/>
    <x v="0"/>
    <x v="1"/>
  </r>
  <r>
    <x v="110"/>
    <x v="3"/>
    <x v="0"/>
    <x v="3"/>
    <x v="110"/>
    <x v="169"/>
    <x v="169"/>
    <x v="169"/>
    <x v="3"/>
    <x v="1"/>
    <x v="1"/>
    <x v="0"/>
    <x v="0"/>
    <x v="1"/>
  </r>
  <r>
    <x v="111"/>
    <x v="2"/>
    <x v="1"/>
    <x v="1"/>
    <x v="32"/>
    <x v="170"/>
    <x v="170"/>
    <x v="170"/>
    <x v="0"/>
    <x v="0"/>
    <x v="4"/>
    <x v="0"/>
    <x v="0"/>
    <x v="1"/>
  </r>
  <r>
    <x v="0"/>
    <x v="0"/>
    <x v="2"/>
    <x v="1"/>
    <x v="111"/>
    <x v="171"/>
    <x v="171"/>
    <x v="171"/>
    <x v="3"/>
    <x v="1"/>
    <x v="0"/>
    <x v="0"/>
    <x v="0"/>
    <x v="1"/>
  </r>
  <r>
    <x v="0"/>
    <x v="3"/>
    <x v="1"/>
    <x v="2"/>
    <x v="61"/>
    <x v="172"/>
    <x v="172"/>
    <x v="172"/>
    <x v="0"/>
    <x v="0"/>
    <x v="0"/>
    <x v="0"/>
    <x v="0"/>
    <x v="1"/>
  </r>
  <r>
    <x v="85"/>
    <x v="2"/>
    <x v="1"/>
    <x v="3"/>
    <x v="39"/>
    <x v="173"/>
    <x v="173"/>
    <x v="173"/>
    <x v="0"/>
    <x v="0"/>
    <x v="1"/>
    <x v="0"/>
    <x v="0"/>
    <x v="1"/>
  </r>
  <r>
    <x v="65"/>
    <x v="0"/>
    <x v="1"/>
    <x v="2"/>
    <x v="18"/>
    <x v="174"/>
    <x v="174"/>
    <x v="174"/>
    <x v="0"/>
    <x v="0"/>
    <x v="2"/>
    <x v="0"/>
    <x v="0"/>
    <x v="1"/>
  </r>
  <r>
    <x v="19"/>
    <x v="0"/>
    <x v="4"/>
    <x v="1"/>
    <x v="112"/>
    <x v="175"/>
    <x v="175"/>
    <x v="175"/>
    <x v="0"/>
    <x v="0"/>
    <x v="0"/>
    <x v="0"/>
    <x v="0"/>
    <x v="1"/>
  </r>
  <r>
    <x v="60"/>
    <x v="2"/>
    <x v="3"/>
    <x v="3"/>
    <x v="92"/>
    <x v="176"/>
    <x v="176"/>
    <x v="176"/>
    <x v="1"/>
    <x v="0"/>
    <x v="1"/>
    <x v="0"/>
    <x v="0"/>
    <x v="1"/>
  </r>
  <r>
    <x v="33"/>
    <x v="0"/>
    <x v="3"/>
    <x v="2"/>
    <x v="113"/>
    <x v="177"/>
    <x v="177"/>
    <x v="177"/>
    <x v="0"/>
    <x v="1"/>
    <x v="4"/>
    <x v="0"/>
    <x v="0"/>
    <x v="1"/>
  </r>
  <r>
    <x v="112"/>
    <x v="2"/>
    <x v="3"/>
    <x v="0"/>
    <x v="3"/>
    <x v="178"/>
    <x v="178"/>
    <x v="178"/>
    <x v="0"/>
    <x v="0"/>
    <x v="0"/>
    <x v="0"/>
    <x v="0"/>
    <x v="0"/>
  </r>
  <r>
    <x v="113"/>
    <x v="1"/>
    <x v="1"/>
    <x v="0"/>
    <x v="18"/>
    <x v="179"/>
    <x v="179"/>
    <x v="179"/>
    <x v="0"/>
    <x v="0"/>
    <x v="5"/>
    <x v="0"/>
    <x v="0"/>
    <x v="0"/>
  </r>
  <r>
    <x v="114"/>
    <x v="2"/>
    <x v="0"/>
    <x v="0"/>
    <x v="32"/>
    <x v="180"/>
    <x v="180"/>
    <x v="180"/>
    <x v="0"/>
    <x v="1"/>
    <x v="2"/>
    <x v="0"/>
    <x v="0"/>
    <x v="0"/>
  </r>
  <r>
    <x v="48"/>
    <x v="3"/>
    <x v="4"/>
    <x v="0"/>
    <x v="100"/>
    <x v="181"/>
    <x v="181"/>
    <x v="181"/>
    <x v="0"/>
    <x v="1"/>
    <x v="1"/>
    <x v="0"/>
    <x v="0"/>
    <x v="0"/>
  </r>
  <r>
    <x v="115"/>
    <x v="1"/>
    <x v="1"/>
    <x v="2"/>
    <x v="43"/>
    <x v="182"/>
    <x v="182"/>
    <x v="182"/>
    <x v="3"/>
    <x v="0"/>
    <x v="2"/>
    <x v="0"/>
    <x v="0"/>
    <x v="1"/>
  </r>
  <r>
    <x v="115"/>
    <x v="3"/>
    <x v="0"/>
    <x v="2"/>
    <x v="51"/>
    <x v="183"/>
    <x v="183"/>
    <x v="183"/>
    <x v="2"/>
    <x v="0"/>
    <x v="2"/>
    <x v="0"/>
    <x v="0"/>
    <x v="1"/>
  </r>
  <r>
    <x v="4"/>
    <x v="2"/>
    <x v="4"/>
    <x v="3"/>
    <x v="53"/>
    <x v="184"/>
    <x v="184"/>
    <x v="184"/>
    <x v="3"/>
    <x v="0"/>
    <x v="1"/>
    <x v="0"/>
    <x v="0"/>
    <x v="1"/>
  </r>
  <r>
    <x v="116"/>
    <x v="2"/>
    <x v="2"/>
    <x v="3"/>
    <x v="114"/>
    <x v="185"/>
    <x v="185"/>
    <x v="185"/>
    <x v="1"/>
    <x v="0"/>
    <x v="2"/>
    <x v="0"/>
    <x v="0"/>
    <x v="1"/>
  </r>
  <r>
    <x v="73"/>
    <x v="0"/>
    <x v="2"/>
    <x v="3"/>
    <x v="115"/>
    <x v="186"/>
    <x v="186"/>
    <x v="186"/>
    <x v="2"/>
    <x v="0"/>
    <x v="1"/>
    <x v="0"/>
    <x v="0"/>
    <x v="1"/>
  </r>
  <r>
    <x v="30"/>
    <x v="1"/>
    <x v="4"/>
    <x v="1"/>
    <x v="116"/>
    <x v="187"/>
    <x v="187"/>
    <x v="187"/>
    <x v="0"/>
    <x v="1"/>
    <x v="3"/>
    <x v="0"/>
    <x v="0"/>
    <x v="1"/>
  </r>
  <r>
    <x v="21"/>
    <x v="2"/>
    <x v="1"/>
    <x v="3"/>
    <x v="117"/>
    <x v="188"/>
    <x v="188"/>
    <x v="188"/>
    <x v="1"/>
    <x v="0"/>
    <x v="0"/>
    <x v="0"/>
    <x v="0"/>
    <x v="1"/>
  </r>
  <r>
    <x v="106"/>
    <x v="3"/>
    <x v="2"/>
    <x v="3"/>
    <x v="118"/>
    <x v="189"/>
    <x v="189"/>
    <x v="189"/>
    <x v="1"/>
    <x v="0"/>
    <x v="0"/>
    <x v="0"/>
    <x v="0"/>
    <x v="1"/>
  </r>
  <r>
    <x v="62"/>
    <x v="0"/>
    <x v="3"/>
    <x v="3"/>
    <x v="119"/>
    <x v="190"/>
    <x v="190"/>
    <x v="190"/>
    <x v="1"/>
    <x v="0"/>
    <x v="1"/>
    <x v="0"/>
    <x v="0"/>
    <x v="1"/>
  </r>
  <r>
    <x v="26"/>
    <x v="3"/>
    <x v="0"/>
    <x v="0"/>
    <x v="120"/>
    <x v="191"/>
    <x v="191"/>
    <x v="191"/>
    <x v="2"/>
    <x v="0"/>
    <x v="3"/>
    <x v="0"/>
    <x v="0"/>
    <x v="0"/>
  </r>
  <r>
    <x v="117"/>
    <x v="0"/>
    <x v="1"/>
    <x v="1"/>
    <x v="71"/>
    <x v="192"/>
    <x v="192"/>
    <x v="192"/>
    <x v="1"/>
    <x v="0"/>
    <x v="5"/>
    <x v="0"/>
    <x v="0"/>
    <x v="1"/>
  </r>
  <r>
    <x v="92"/>
    <x v="3"/>
    <x v="2"/>
    <x v="3"/>
    <x v="116"/>
    <x v="193"/>
    <x v="193"/>
    <x v="193"/>
    <x v="0"/>
    <x v="0"/>
    <x v="3"/>
    <x v="0"/>
    <x v="0"/>
    <x v="1"/>
  </r>
  <r>
    <x v="118"/>
    <x v="3"/>
    <x v="1"/>
    <x v="0"/>
    <x v="28"/>
    <x v="194"/>
    <x v="194"/>
    <x v="194"/>
    <x v="2"/>
    <x v="0"/>
    <x v="0"/>
    <x v="0"/>
    <x v="0"/>
    <x v="0"/>
  </r>
  <r>
    <x v="38"/>
    <x v="2"/>
    <x v="2"/>
    <x v="2"/>
    <x v="60"/>
    <x v="195"/>
    <x v="195"/>
    <x v="195"/>
    <x v="3"/>
    <x v="1"/>
    <x v="1"/>
    <x v="0"/>
    <x v="0"/>
    <x v="1"/>
  </r>
  <r>
    <x v="28"/>
    <x v="1"/>
    <x v="1"/>
    <x v="3"/>
    <x v="1"/>
    <x v="196"/>
    <x v="196"/>
    <x v="196"/>
    <x v="1"/>
    <x v="0"/>
    <x v="1"/>
    <x v="0"/>
    <x v="0"/>
    <x v="1"/>
  </r>
  <r>
    <x v="112"/>
    <x v="2"/>
    <x v="0"/>
    <x v="0"/>
    <x v="68"/>
    <x v="197"/>
    <x v="197"/>
    <x v="197"/>
    <x v="3"/>
    <x v="0"/>
    <x v="0"/>
    <x v="0"/>
    <x v="0"/>
    <x v="0"/>
  </r>
  <r>
    <x v="119"/>
    <x v="2"/>
    <x v="3"/>
    <x v="3"/>
    <x v="55"/>
    <x v="198"/>
    <x v="198"/>
    <x v="198"/>
    <x v="1"/>
    <x v="0"/>
    <x v="4"/>
    <x v="0"/>
    <x v="0"/>
    <x v="1"/>
  </r>
  <r>
    <x v="120"/>
    <x v="2"/>
    <x v="4"/>
    <x v="0"/>
    <x v="43"/>
    <x v="199"/>
    <x v="199"/>
    <x v="199"/>
    <x v="3"/>
    <x v="0"/>
    <x v="5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8" firstHeaderRow="0" firstDataRow="1" firstDataCol="1"/>
  <pivotFields count="14">
    <pivotField compact="0" numFmtId="178" showAll="0">
      <items count="122">
        <item x="49"/>
        <item x="92"/>
        <item x="26"/>
        <item x="109"/>
        <item x="24"/>
        <item x="72"/>
        <item x="90"/>
        <item x="61"/>
        <item x="36"/>
        <item x="103"/>
        <item x="54"/>
        <item x="30"/>
        <item x="51"/>
        <item x="91"/>
        <item x="82"/>
        <item x="32"/>
        <item x="6"/>
        <item x="87"/>
        <item x="13"/>
        <item x="5"/>
        <item x="93"/>
        <item x="44"/>
        <item x="63"/>
        <item x="115"/>
        <item x="100"/>
        <item x="96"/>
        <item x="75"/>
        <item x="104"/>
        <item x="18"/>
        <item x="114"/>
        <item x="7"/>
        <item x="20"/>
        <item x="65"/>
        <item x="116"/>
        <item x="79"/>
        <item x="95"/>
        <item x="42"/>
        <item x="8"/>
        <item x="86"/>
        <item x="52"/>
        <item x="35"/>
        <item x="56"/>
        <item x="74"/>
        <item x="119"/>
        <item x="111"/>
        <item x="33"/>
        <item x="102"/>
        <item x="58"/>
        <item x="68"/>
        <item x="23"/>
        <item x="12"/>
        <item x="25"/>
        <item x="80"/>
        <item x="16"/>
        <item x="9"/>
        <item x="55"/>
        <item x="29"/>
        <item x="120"/>
        <item x="41"/>
        <item x="113"/>
        <item x="27"/>
        <item x="94"/>
        <item x="45"/>
        <item x="14"/>
        <item x="71"/>
        <item x="81"/>
        <item x="76"/>
        <item x="43"/>
        <item x="66"/>
        <item x="117"/>
        <item x="105"/>
        <item x="34"/>
        <item x="97"/>
        <item x="99"/>
        <item x="59"/>
        <item x="1"/>
        <item x="78"/>
        <item x="19"/>
        <item x="10"/>
        <item x="17"/>
        <item x="0"/>
        <item x="3"/>
        <item x="39"/>
        <item x="112"/>
        <item x="106"/>
        <item x="50"/>
        <item x="98"/>
        <item x="46"/>
        <item x="84"/>
        <item x="15"/>
        <item x="77"/>
        <item x="40"/>
        <item x="118"/>
        <item x="31"/>
        <item x="21"/>
        <item x="22"/>
        <item x="11"/>
        <item x="70"/>
        <item x="57"/>
        <item x="2"/>
        <item x="28"/>
        <item x="60"/>
        <item x="83"/>
        <item x="37"/>
        <item x="69"/>
        <item x="4"/>
        <item x="64"/>
        <item x="62"/>
        <item x="107"/>
        <item x="73"/>
        <item x="110"/>
        <item x="88"/>
        <item x="85"/>
        <item x="53"/>
        <item x="38"/>
        <item x="108"/>
        <item x="67"/>
        <item x="47"/>
        <item x="89"/>
        <item x="48"/>
        <item x="10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122">
        <item x="33"/>
        <item x="38"/>
        <item x="62"/>
        <item x="39"/>
        <item x="65"/>
        <item x="43"/>
        <item x="82"/>
        <item x="51"/>
        <item x="68"/>
        <item x="71"/>
        <item x="87"/>
        <item x="101"/>
        <item x="56"/>
        <item x="53"/>
        <item x="0"/>
        <item x="6"/>
        <item x="108"/>
        <item x="7"/>
        <item x="40"/>
        <item x="72"/>
        <item x="10"/>
        <item x="84"/>
        <item x="1"/>
        <item x="70"/>
        <item x="119"/>
        <item x="109"/>
        <item x="35"/>
        <item x="20"/>
        <item x="103"/>
        <item x="92"/>
        <item x="30"/>
        <item x="19"/>
        <item x="77"/>
        <item x="5"/>
        <item x="11"/>
        <item x="45"/>
        <item x="52"/>
        <item x="80"/>
        <item x="90"/>
        <item x="79"/>
        <item x="27"/>
        <item x="50"/>
        <item x="23"/>
        <item x="3"/>
        <item x="24"/>
        <item x="75"/>
        <item x="89"/>
        <item x="73"/>
        <item x="49"/>
        <item x="96"/>
        <item x="26"/>
        <item x="106"/>
        <item x="37"/>
        <item x="95"/>
        <item x="28"/>
        <item x="55"/>
        <item x="21"/>
        <item x="36"/>
        <item x="118"/>
        <item x="105"/>
        <item x="25"/>
        <item x="44"/>
        <item x="74"/>
        <item x="2"/>
        <item x="57"/>
        <item x="17"/>
        <item x="14"/>
        <item x="112"/>
        <item x="60"/>
        <item x="111"/>
        <item x="31"/>
        <item x="63"/>
        <item x="76"/>
        <item x="98"/>
        <item x="104"/>
        <item x="32"/>
        <item x="93"/>
        <item x="88"/>
        <item x="99"/>
        <item x="102"/>
        <item x="114"/>
        <item x="91"/>
        <item x="97"/>
        <item x="107"/>
        <item x="41"/>
        <item x="12"/>
        <item x="29"/>
        <item x="120"/>
        <item x="42"/>
        <item x="22"/>
        <item x="54"/>
        <item x="69"/>
        <item x="58"/>
        <item x="94"/>
        <item x="48"/>
        <item x="115"/>
        <item x="46"/>
        <item x="61"/>
        <item x="81"/>
        <item x="66"/>
        <item x="59"/>
        <item x="64"/>
        <item x="18"/>
        <item x="47"/>
        <item x="4"/>
        <item x="110"/>
        <item x="85"/>
        <item x="15"/>
        <item x="83"/>
        <item x="16"/>
        <item x="67"/>
        <item x="8"/>
        <item x="86"/>
        <item x="34"/>
        <item x="13"/>
        <item x="100"/>
        <item x="117"/>
        <item x="113"/>
        <item x="116"/>
        <item x="78"/>
        <item x="9"/>
        <item t="default"/>
      </items>
    </pivotField>
    <pivotField dataField="1" compact="0" showAll="0">
      <items count="201">
        <item x="67"/>
        <item x="116"/>
        <item x="34"/>
        <item x="173"/>
        <item x="88"/>
        <item x="150"/>
        <item x="136"/>
        <item x="80"/>
        <item x="183"/>
        <item x="39"/>
        <item x="10"/>
        <item x="76"/>
        <item x="192"/>
        <item x="199"/>
        <item x="182"/>
        <item x="102"/>
        <item x="0"/>
        <item x="1"/>
        <item x="90"/>
        <item x="41"/>
        <item x="60"/>
        <item x="7"/>
        <item x="85"/>
        <item x="178"/>
        <item x="62"/>
        <item x="197"/>
        <item x="47"/>
        <item x="142"/>
        <item x="105"/>
        <item x="190"/>
        <item x="118"/>
        <item x="50"/>
        <item x="165"/>
        <item x="38"/>
        <item x="49"/>
        <item x="20"/>
        <item x="92"/>
        <item x="98"/>
        <item x="23"/>
        <item x="11"/>
        <item x="109"/>
        <item x="68"/>
        <item x="2"/>
        <item x="25"/>
        <item x="89"/>
        <item x="26"/>
        <item x="33"/>
        <item x="141"/>
        <item x="6"/>
        <item x="111"/>
        <item x="189"/>
        <item x="184"/>
        <item x="40"/>
        <item x="122"/>
        <item x="63"/>
        <item x="195"/>
        <item x="31"/>
        <item x="24"/>
        <item x="32"/>
        <item x="19"/>
        <item x="167"/>
        <item x="112"/>
        <item x="36"/>
        <item x="176"/>
        <item x="145"/>
        <item x="55"/>
        <item x="72"/>
        <item x="196"/>
        <item x="57"/>
        <item x="84"/>
        <item x="106"/>
        <item x="110"/>
        <item x="113"/>
        <item x="42"/>
        <item x="94"/>
        <item x="168"/>
        <item x="191"/>
        <item x="28"/>
        <item x="120"/>
        <item x="14"/>
        <item x="108"/>
        <item x="103"/>
        <item x="77"/>
        <item x="125"/>
        <item x="180"/>
        <item x="115"/>
        <item x="147"/>
        <item x="152"/>
        <item x="198"/>
        <item x="134"/>
        <item x="160"/>
        <item x="133"/>
        <item x="143"/>
        <item x="139"/>
        <item x="128"/>
        <item x="186"/>
        <item x="185"/>
        <item x="158"/>
        <item x="3"/>
        <item x="157"/>
        <item x="126"/>
        <item x="169"/>
        <item x="96"/>
        <item x="48"/>
        <item x="70"/>
        <item x="172"/>
        <item x="131"/>
        <item x="161"/>
        <item x="95"/>
        <item x="52"/>
        <item x="124"/>
        <item x="65"/>
        <item x="135"/>
        <item x="21"/>
        <item x="37"/>
        <item x="93"/>
        <item x="194"/>
        <item x="151"/>
        <item x="18"/>
        <item x="140"/>
        <item x="117"/>
        <item x="175"/>
        <item x="74"/>
        <item x="99"/>
        <item x="5"/>
        <item x="69"/>
        <item x="78"/>
        <item x="171"/>
        <item x="4"/>
        <item x="101"/>
        <item x="53"/>
        <item x="51"/>
        <item x="127"/>
        <item x="188"/>
        <item x="138"/>
        <item x="162"/>
        <item x="29"/>
        <item x="97"/>
        <item x="17"/>
        <item x="45"/>
        <item x="144"/>
        <item x="155"/>
        <item x="123"/>
        <item x="58"/>
        <item x="66"/>
        <item x="149"/>
        <item x="104"/>
        <item x="107"/>
        <item x="30"/>
        <item x="159"/>
        <item x="166"/>
        <item x="137"/>
        <item x="146"/>
        <item x="163"/>
        <item x="15"/>
        <item x="100"/>
        <item x="91"/>
        <item x="156"/>
        <item x="44"/>
        <item x="59"/>
        <item x="170"/>
        <item x="83"/>
        <item x="154"/>
        <item x="79"/>
        <item x="177"/>
        <item x="43"/>
        <item x="132"/>
        <item x="12"/>
        <item x="129"/>
        <item x="153"/>
        <item x="46"/>
        <item x="130"/>
        <item x="75"/>
        <item x="164"/>
        <item x="35"/>
        <item x="86"/>
        <item x="114"/>
        <item x="81"/>
        <item x="56"/>
        <item x="9"/>
        <item x="121"/>
        <item x="71"/>
        <item x="174"/>
        <item x="22"/>
        <item x="16"/>
        <item x="64"/>
        <item x="27"/>
        <item x="148"/>
        <item x="179"/>
        <item x="187"/>
        <item x="8"/>
        <item x="73"/>
        <item x="82"/>
        <item x="54"/>
        <item x="61"/>
        <item x="87"/>
        <item x="119"/>
        <item x="193"/>
        <item x="13"/>
        <item x="181"/>
        <item t="default"/>
      </items>
    </pivotField>
    <pivotField compact="0" showAll="0">
      <items count="201">
        <item x="116"/>
        <item x="182"/>
        <item x="199"/>
        <item x="173"/>
        <item x="197"/>
        <item x="39"/>
        <item x="41"/>
        <item x="34"/>
        <item x="7"/>
        <item x="0"/>
        <item x="98"/>
        <item x="85"/>
        <item x="67"/>
        <item x="165"/>
        <item x="6"/>
        <item x="136"/>
        <item x="195"/>
        <item x="184"/>
        <item x="178"/>
        <item x="90"/>
        <item x="31"/>
        <item x="183"/>
        <item x="150"/>
        <item x="92"/>
        <item x="88"/>
        <item x="80"/>
        <item x="62"/>
        <item x="24"/>
        <item x="47"/>
        <item x="192"/>
        <item x="76"/>
        <item x="141"/>
        <item x="36"/>
        <item x="50"/>
        <item x="105"/>
        <item x="33"/>
        <item x="10"/>
        <item x="1"/>
        <item x="109"/>
        <item x="102"/>
        <item x="84"/>
        <item x="60"/>
        <item x="72"/>
        <item x="142"/>
        <item x="167"/>
        <item x="38"/>
        <item x="89"/>
        <item x="40"/>
        <item x="118"/>
        <item x="68"/>
        <item x="49"/>
        <item x="94"/>
        <item x="2"/>
        <item x="190"/>
        <item x="106"/>
        <item x="112"/>
        <item x="25"/>
        <item x="120"/>
        <item x="125"/>
        <item x="20"/>
        <item x="42"/>
        <item x="111"/>
        <item x="26"/>
        <item x="23"/>
        <item x="110"/>
        <item x="63"/>
        <item x="11"/>
        <item x="19"/>
        <item x="189"/>
        <item x="133"/>
        <item x="128"/>
        <item x="145"/>
        <item x="122"/>
        <item x="126"/>
        <item x="180"/>
        <item x="57"/>
        <item x="152"/>
        <item x="95"/>
        <item x="131"/>
        <item x="32"/>
        <item x="169"/>
        <item x="21"/>
        <item x="77"/>
        <item x="176"/>
        <item x="139"/>
        <item x="161"/>
        <item x="168"/>
        <item x="117"/>
        <item x="140"/>
        <item x="55"/>
        <item x="191"/>
        <item x="196"/>
        <item x="124"/>
        <item x="99"/>
        <item x="3"/>
        <item x="65"/>
        <item x="14"/>
        <item x="103"/>
        <item x="48"/>
        <item x="69"/>
        <item x="171"/>
        <item x="160"/>
        <item x="28"/>
        <item x="151"/>
        <item x="113"/>
        <item x="108"/>
        <item x="101"/>
        <item x="158"/>
        <item x="37"/>
        <item x="134"/>
        <item x="115"/>
        <item x="172"/>
        <item x="51"/>
        <item x="198"/>
        <item x="186"/>
        <item x="29"/>
        <item x="127"/>
        <item x="162"/>
        <item x="143"/>
        <item x="66"/>
        <item x="52"/>
        <item x="97"/>
        <item x="147"/>
        <item x="74"/>
        <item x="175"/>
        <item x="96"/>
        <item x="157"/>
        <item x="185"/>
        <item x="107"/>
        <item x="4"/>
        <item x="18"/>
        <item x="104"/>
        <item x="45"/>
        <item x="5"/>
        <item x="138"/>
        <item x="144"/>
        <item x="194"/>
        <item x="70"/>
        <item x="159"/>
        <item x="135"/>
        <item x="17"/>
        <item x="30"/>
        <item x="78"/>
        <item x="93"/>
        <item x="155"/>
        <item x="53"/>
        <item x="123"/>
        <item x="188"/>
        <item x="15"/>
        <item x="166"/>
        <item x="137"/>
        <item x="59"/>
        <item x="58"/>
        <item x="149"/>
        <item x="156"/>
        <item x="146"/>
        <item x="163"/>
        <item x="170"/>
        <item x="83"/>
        <item x="91"/>
        <item x="177"/>
        <item x="79"/>
        <item x="100"/>
        <item x="44"/>
        <item x="12"/>
        <item x="154"/>
        <item x="153"/>
        <item x="43"/>
        <item x="129"/>
        <item x="86"/>
        <item x="132"/>
        <item x="35"/>
        <item x="46"/>
        <item x="114"/>
        <item x="81"/>
        <item x="164"/>
        <item x="22"/>
        <item x="75"/>
        <item x="130"/>
        <item x="174"/>
        <item x="9"/>
        <item x="121"/>
        <item x="56"/>
        <item x="71"/>
        <item x="16"/>
        <item x="187"/>
        <item x="27"/>
        <item x="179"/>
        <item x="148"/>
        <item x="64"/>
        <item x="82"/>
        <item x="8"/>
        <item x="73"/>
        <item x="61"/>
        <item x="87"/>
        <item x="54"/>
        <item x="13"/>
        <item x="193"/>
        <item x="181"/>
        <item x="119"/>
        <item t="default"/>
      </items>
    </pivotField>
    <pivotField dataField="1" compact="0" showAll="0">
      <items count="201">
        <item x="11"/>
        <item x="100"/>
        <item x="147"/>
        <item x="149"/>
        <item x="70"/>
        <item x="20"/>
        <item x="190"/>
        <item x="64"/>
        <item x="163"/>
        <item x="10"/>
        <item x="23"/>
        <item x="185"/>
        <item x="56"/>
        <item x="44"/>
        <item x="102"/>
        <item x="93"/>
        <item x="55"/>
        <item x="60"/>
        <item x="58"/>
        <item x="130"/>
        <item x="113"/>
        <item x="122"/>
        <item x="1"/>
        <item x="71"/>
        <item x="146"/>
        <item x="118"/>
        <item x="73"/>
        <item x="143"/>
        <item x="157"/>
        <item x="76"/>
        <item x="189"/>
        <item x="192"/>
        <item x="32"/>
        <item x="135"/>
        <item x="75"/>
        <item x="196"/>
        <item x="88"/>
        <item x="176"/>
        <item x="49"/>
        <item x="198"/>
        <item x="53"/>
        <item x="26"/>
        <item x="142"/>
        <item x="96"/>
        <item x="188"/>
        <item x="54"/>
        <item x="150"/>
        <item x="194"/>
        <item x="78"/>
        <item x="9"/>
        <item x="115"/>
        <item x="121"/>
        <item x="25"/>
        <item x="91"/>
        <item x="80"/>
        <item x="28"/>
        <item x="46"/>
        <item x="186"/>
        <item x="8"/>
        <item x="134"/>
        <item x="108"/>
        <item x="38"/>
        <item x="2"/>
        <item x="63"/>
        <item x="111"/>
        <item x="43"/>
        <item x="67"/>
        <item x="164"/>
        <item x="183"/>
        <item x="68"/>
        <item x="132"/>
        <item x="19"/>
        <item x="18"/>
        <item x="47"/>
        <item x="148"/>
        <item x="52"/>
        <item x="145"/>
        <item x="105"/>
        <item x="119"/>
        <item x="154"/>
        <item x="5"/>
        <item x="62"/>
        <item x="89"/>
        <item x="90"/>
        <item x="14"/>
        <item x="191"/>
        <item x="103"/>
        <item x="50"/>
        <item x="136"/>
        <item x="123"/>
        <item x="114"/>
        <item x="27"/>
        <item x="168"/>
        <item x="155"/>
        <item x="160"/>
        <item x="170"/>
        <item x="158"/>
        <item x="178"/>
        <item x="175"/>
        <item x="172"/>
        <item x="82"/>
        <item x="57"/>
        <item x="81"/>
        <item x="4"/>
        <item x="74"/>
        <item x="109"/>
        <item x="61"/>
        <item x="40"/>
        <item x="174"/>
        <item x="16"/>
        <item x="138"/>
        <item x="137"/>
        <item x="17"/>
        <item x="179"/>
        <item x="166"/>
        <item x="87"/>
        <item x="34"/>
        <item x="112"/>
        <item x="77"/>
        <item x="83"/>
        <item x="33"/>
        <item x="22"/>
        <item x="193"/>
        <item x="92"/>
        <item x="144"/>
        <item x="110"/>
        <item x="45"/>
        <item x="129"/>
        <item x="79"/>
        <item x="3"/>
        <item x="141"/>
        <item x="48"/>
        <item x="173"/>
        <item x="85"/>
        <item x="37"/>
        <item x="127"/>
        <item x="167"/>
        <item x="0"/>
        <item x="39"/>
        <item x="139"/>
        <item x="156"/>
        <item x="187"/>
        <item x="152"/>
        <item x="97"/>
        <item x="177"/>
        <item x="180"/>
        <item x="35"/>
        <item x="162"/>
        <item x="181"/>
        <item x="106"/>
        <item x="51"/>
        <item x="13"/>
        <item x="7"/>
        <item x="42"/>
        <item x="151"/>
        <item x="41"/>
        <item x="30"/>
        <item x="165"/>
        <item x="104"/>
        <item x="65"/>
        <item x="124"/>
        <item x="86"/>
        <item x="29"/>
        <item x="153"/>
        <item x="116"/>
        <item x="120"/>
        <item x="199"/>
        <item x="107"/>
        <item x="133"/>
        <item x="128"/>
        <item x="169"/>
        <item x="161"/>
        <item x="24"/>
        <item x="36"/>
        <item x="72"/>
        <item x="94"/>
        <item x="197"/>
        <item x="182"/>
        <item x="184"/>
        <item x="101"/>
        <item x="59"/>
        <item x="159"/>
        <item x="66"/>
        <item x="125"/>
        <item x="69"/>
        <item x="195"/>
        <item x="126"/>
        <item x="171"/>
        <item x="140"/>
        <item x="131"/>
        <item x="15"/>
        <item x="84"/>
        <item x="99"/>
        <item x="31"/>
        <item x="95"/>
        <item x="6"/>
        <item x="98"/>
        <item x="21"/>
        <item x="12"/>
        <item x="117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3"/>
        <item x="2"/>
        <item x="4"/>
        <item x="5"/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Profit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10" firstHeaderRow="1" firstDataRow="1" firstDataCol="1"/>
  <pivotFields count="14">
    <pivotField compact="0" numFmtId="178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3"/>
        <item x="2"/>
        <item x="4"/>
        <item x="5"/>
        <item x="0"/>
        <item x="1"/>
        <item t="default"/>
      </items>
    </pivotField>
    <pivotField compact="0" showAll="0"/>
    <pivotField compact="0" showAll="0"/>
    <pivotField compact="0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4">
    <pivotField compact="0" numFmtId="178" showAll="0">
      <items count="122">
        <item x="49"/>
        <item x="92"/>
        <item x="26"/>
        <item x="109"/>
        <item x="24"/>
        <item x="72"/>
        <item x="90"/>
        <item x="61"/>
        <item x="36"/>
        <item x="103"/>
        <item x="54"/>
        <item x="30"/>
        <item x="51"/>
        <item x="91"/>
        <item x="82"/>
        <item x="32"/>
        <item x="6"/>
        <item x="87"/>
        <item x="13"/>
        <item x="5"/>
        <item x="93"/>
        <item x="44"/>
        <item x="63"/>
        <item x="115"/>
        <item x="100"/>
        <item x="96"/>
        <item x="75"/>
        <item x="104"/>
        <item x="18"/>
        <item x="114"/>
        <item x="7"/>
        <item x="20"/>
        <item x="65"/>
        <item x="116"/>
        <item x="79"/>
        <item x="95"/>
        <item x="42"/>
        <item x="8"/>
        <item x="86"/>
        <item x="52"/>
        <item x="35"/>
        <item x="56"/>
        <item x="74"/>
        <item x="119"/>
        <item x="111"/>
        <item x="33"/>
        <item x="102"/>
        <item x="58"/>
        <item x="68"/>
        <item x="23"/>
        <item x="12"/>
        <item x="25"/>
        <item x="80"/>
        <item x="16"/>
        <item x="9"/>
        <item x="55"/>
        <item x="29"/>
        <item x="120"/>
        <item x="41"/>
        <item x="113"/>
        <item x="27"/>
        <item x="94"/>
        <item x="45"/>
        <item x="14"/>
        <item x="71"/>
        <item x="81"/>
        <item x="76"/>
        <item x="43"/>
        <item x="66"/>
        <item x="117"/>
        <item x="105"/>
        <item x="34"/>
        <item x="97"/>
        <item x="99"/>
        <item x="59"/>
        <item x="1"/>
        <item x="78"/>
        <item x="19"/>
        <item x="10"/>
        <item x="17"/>
        <item x="0"/>
        <item x="3"/>
        <item x="39"/>
        <item x="112"/>
        <item x="106"/>
        <item x="50"/>
        <item x="98"/>
        <item x="46"/>
        <item x="84"/>
        <item x="15"/>
        <item x="77"/>
        <item x="40"/>
        <item x="118"/>
        <item x="31"/>
        <item x="21"/>
        <item x="22"/>
        <item x="11"/>
        <item x="70"/>
        <item x="57"/>
        <item x="2"/>
        <item x="28"/>
        <item x="60"/>
        <item x="83"/>
        <item x="37"/>
        <item x="69"/>
        <item x="4"/>
        <item x="64"/>
        <item x="62"/>
        <item x="107"/>
        <item x="73"/>
        <item x="110"/>
        <item x="88"/>
        <item x="85"/>
        <item x="53"/>
        <item x="38"/>
        <item x="108"/>
        <item x="67"/>
        <item x="47"/>
        <item x="89"/>
        <item x="48"/>
        <item x="10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122">
        <item x="33"/>
        <item x="38"/>
        <item x="62"/>
        <item x="39"/>
        <item x="65"/>
        <item x="43"/>
        <item x="82"/>
        <item x="51"/>
        <item x="68"/>
        <item x="71"/>
        <item x="87"/>
        <item x="101"/>
        <item x="56"/>
        <item x="53"/>
        <item x="0"/>
        <item x="6"/>
        <item x="108"/>
        <item x="7"/>
        <item x="40"/>
        <item x="72"/>
        <item x="10"/>
        <item x="84"/>
        <item x="1"/>
        <item x="70"/>
        <item x="119"/>
        <item x="109"/>
        <item x="35"/>
        <item x="20"/>
        <item x="103"/>
        <item x="92"/>
        <item x="30"/>
        <item x="19"/>
        <item x="77"/>
        <item x="5"/>
        <item x="11"/>
        <item x="45"/>
        <item x="52"/>
        <item x="80"/>
        <item x="90"/>
        <item x="79"/>
        <item x="27"/>
        <item x="50"/>
        <item x="23"/>
        <item x="3"/>
        <item x="24"/>
        <item x="75"/>
        <item x="89"/>
        <item x="73"/>
        <item x="49"/>
        <item x="96"/>
        <item x="26"/>
        <item x="106"/>
        <item x="37"/>
        <item x="95"/>
        <item x="28"/>
        <item x="55"/>
        <item x="21"/>
        <item x="36"/>
        <item x="118"/>
        <item x="105"/>
        <item x="25"/>
        <item x="44"/>
        <item x="74"/>
        <item x="2"/>
        <item x="57"/>
        <item x="17"/>
        <item x="14"/>
        <item x="112"/>
        <item x="60"/>
        <item x="111"/>
        <item x="31"/>
        <item x="63"/>
        <item x="76"/>
        <item x="98"/>
        <item x="104"/>
        <item x="32"/>
        <item x="93"/>
        <item x="88"/>
        <item x="99"/>
        <item x="102"/>
        <item x="114"/>
        <item x="91"/>
        <item x="97"/>
        <item x="107"/>
        <item x="41"/>
        <item x="12"/>
        <item x="29"/>
        <item x="120"/>
        <item x="42"/>
        <item x="22"/>
        <item x="54"/>
        <item x="69"/>
        <item x="58"/>
        <item x="94"/>
        <item x="48"/>
        <item x="115"/>
        <item x="46"/>
        <item x="61"/>
        <item x="81"/>
        <item x="66"/>
        <item x="59"/>
        <item x="64"/>
        <item x="18"/>
        <item x="47"/>
        <item x="4"/>
        <item x="110"/>
        <item x="85"/>
        <item x="15"/>
        <item x="83"/>
        <item x="16"/>
        <item x="67"/>
        <item x="8"/>
        <item x="86"/>
        <item x="34"/>
        <item x="13"/>
        <item x="100"/>
        <item x="117"/>
        <item x="113"/>
        <item x="116"/>
        <item x="78"/>
        <item x="9"/>
        <item t="default"/>
      </items>
    </pivotField>
    <pivotField compact="0" showAll="0">
      <items count="201">
        <item x="67"/>
        <item x="116"/>
        <item x="34"/>
        <item x="173"/>
        <item x="88"/>
        <item x="150"/>
        <item x="136"/>
        <item x="80"/>
        <item x="183"/>
        <item x="39"/>
        <item x="10"/>
        <item x="76"/>
        <item x="192"/>
        <item x="199"/>
        <item x="182"/>
        <item x="102"/>
        <item x="0"/>
        <item x="1"/>
        <item x="90"/>
        <item x="41"/>
        <item x="60"/>
        <item x="7"/>
        <item x="85"/>
        <item x="178"/>
        <item x="62"/>
        <item x="197"/>
        <item x="47"/>
        <item x="142"/>
        <item x="105"/>
        <item x="190"/>
        <item x="118"/>
        <item x="50"/>
        <item x="165"/>
        <item x="38"/>
        <item x="49"/>
        <item x="20"/>
        <item x="92"/>
        <item x="98"/>
        <item x="23"/>
        <item x="11"/>
        <item x="109"/>
        <item x="68"/>
        <item x="2"/>
        <item x="25"/>
        <item x="89"/>
        <item x="26"/>
        <item x="33"/>
        <item x="141"/>
        <item x="6"/>
        <item x="111"/>
        <item x="189"/>
        <item x="184"/>
        <item x="40"/>
        <item x="122"/>
        <item x="63"/>
        <item x="195"/>
        <item x="31"/>
        <item x="24"/>
        <item x="32"/>
        <item x="19"/>
        <item x="167"/>
        <item x="112"/>
        <item x="36"/>
        <item x="176"/>
        <item x="145"/>
        <item x="55"/>
        <item x="72"/>
        <item x="196"/>
        <item x="57"/>
        <item x="84"/>
        <item x="106"/>
        <item x="110"/>
        <item x="113"/>
        <item x="42"/>
        <item x="94"/>
        <item x="168"/>
        <item x="191"/>
        <item x="28"/>
        <item x="120"/>
        <item x="14"/>
        <item x="108"/>
        <item x="103"/>
        <item x="77"/>
        <item x="125"/>
        <item x="180"/>
        <item x="115"/>
        <item x="147"/>
        <item x="152"/>
        <item x="198"/>
        <item x="134"/>
        <item x="160"/>
        <item x="133"/>
        <item x="143"/>
        <item x="139"/>
        <item x="128"/>
        <item x="186"/>
        <item x="185"/>
        <item x="158"/>
        <item x="3"/>
        <item x="157"/>
        <item x="126"/>
        <item x="169"/>
        <item x="96"/>
        <item x="48"/>
        <item x="70"/>
        <item x="172"/>
        <item x="131"/>
        <item x="161"/>
        <item x="95"/>
        <item x="52"/>
        <item x="124"/>
        <item x="65"/>
        <item x="135"/>
        <item x="21"/>
        <item x="37"/>
        <item x="93"/>
        <item x="194"/>
        <item x="151"/>
        <item x="18"/>
        <item x="140"/>
        <item x="117"/>
        <item x="175"/>
        <item x="74"/>
        <item x="99"/>
        <item x="5"/>
        <item x="69"/>
        <item x="78"/>
        <item x="171"/>
        <item x="4"/>
        <item x="101"/>
        <item x="53"/>
        <item x="51"/>
        <item x="127"/>
        <item x="188"/>
        <item x="138"/>
        <item x="162"/>
        <item x="29"/>
        <item x="97"/>
        <item x="17"/>
        <item x="45"/>
        <item x="144"/>
        <item x="155"/>
        <item x="123"/>
        <item x="58"/>
        <item x="66"/>
        <item x="149"/>
        <item x="104"/>
        <item x="107"/>
        <item x="30"/>
        <item x="159"/>
        <item x="166"/>
        <item x="137"/>
        <item x="146"/>
        <item x="163"/>
        <item x="15"/>
        <item x="100"/>
        <item x="91"/>
        <item x="156"/>
        <item x="44"/>
        <item x="59"/>
        <item x="170"/>
        <item x="83"/>
        <item x="154"/>
        <item x="79"/>
        <item x="177"/>
        <item x="43"/>
        <item x="132"/>
        <item x="12"/>
        <item x="129"/>
        <item x="153"/>
        <item x="46"/>
        <item x="130"/>
        <item x="75"/>
        <item x="164"/>
        <item x="35"/>
        <item x="86"/>
        <item x="114"/>
        <item x="81"/>
        <item x="56"/>
        <item x="9"/>
        <item x="121"/>
        <item x="71"/>
        <item x="174"/>
        <item x="22"/>
        <item x="16"/>
        <item x="64"/>
        <item x="27"/>
        <item x="148"/>
        <item x="179"/>
        <item x="187"/>
        <item x="8"/>
        <item x="73"/>
        <item x="82"/>
        <item x="54"/>
        <item x="61"/>
        <item x="87"/>
        <item x="119"/>
        <item x="193"/>
        <item x="13"/>
        <item x="181"/>
        <item t="default"/>
      </items>
    </pivotField>
    <pivotField compact="0" showAll="0">
      <items count="201">
        <item x="116"/>
        <item x="182"/>
        <item x="199"/>
        <item x="173"/>
        <item x="197"/>
        <item x="39"/>
        <item x="41"/>
        <item x="34"/>
        <item x="7"/>
        <item x="0"/>
        <item x="98"/>
        <item x="85"/>
        <item x="67"/>
        <item x="165"/>
        <item x="6"/>
        <item x="136"/>
        <item x="195"/>
        <item x="184"/>
        <item x="178"/>
        <item x="90"/>
        <item x="31"/>
        <item x="183"/>
        <item x="150"/>
        <item x="92"/>
        <item x="88"/>
        <item x="80"/>
        <item x="62"/>
        <item x="24"/>
        <item x="47"/>
        <item x="192"/>
        <item x="76"/>
        <item x="141"/>
        <item x="36"/>
        <item x="50"/>
        <item x="105"/>
        <item x="33"/>
        <item x="10"/>
        <item x="1"/>
        <item x="109"/>
        <item x="102"/>
        <item x="84"/>
        <item x="60"/>
        <item x="72"/>
        <item x="142"/>
        <item x="167"/>
        <item x="38"/>
        <item x="89"/>
        <item x="40"/>
        <item x="118"/>
        <item x="68"/>
        <item x="49"/>
        <item x="94"/>
        <item x="2"/>
        <item x="190"/>
        <item x="106"/>
        <item x="112"/>
        <item x="25"/>
        <item x="120"/>
        <item x="125"/>
        <item x="20"/>
        <item x="42"/>
        <item x="111"/>
        <item x="26"/>
        <item x="23"/>
        <item x="110"/>
        <item x="63"/>
        <item x="11"/>
        <item x="19"/>
        <item x="189"/>
        <item x="133"/>
        <item x="128"/>
        <item x="145"/>
        <item x="122"/>
        <item x="126"/>
        <item x="180"/>
        <item x="57"/>
        <item x="152"/>
        <item x="95"/>
        <item x="131"/>
        <item x="32"/>
        <item x="169"/>
        <item x="21"/>
        <item x="77"/>
        <item x="176"/>
        <item x="139"/>
        <item x="161"/>
        <item x="168"/>
        <item x="117"/>
        <item x="140"/>
        <item x="55"/>
        <item x="191"/>
        <item x="196"/>
        <item x="124"/>
        <item x="99"/>
        <item x="3"/>
        <item x="65"/>
        <item x="14"/>
        <item x="103"/>
        <item x="48"/>
        <item x="69"/>
        <item x="171"/>
        <item x="160"/>
        <item x="28"/>
        <item x="151"/>
        <item x="113"/>
        <item x="108"/>
        <item x="101"/>
        <item x="158"/>
        <item x="37"/>
        <item x="134"/>
        <item x="115"/>
        <item x="172"/>
        <item x="51"/>
        <item x="198"/>
        <item x="186"/>
        <item x="29"/>
        <item x="127"/>
        <item x="162"/>
        <item x="143"/>
        <item x="66"/>
        <item x="52"/>
        <item x="97"/>
        <item x="147"/>
        <item x="74"/>
        <item x="175"/>
        <item x="96"/>
        <item x="157"/>
        <item x="185"/>
        <item x="107"/>
        <item x="4"/>
        <item x="18"/>
        <item x="104"/>
        <item x="45"/>
        <item x="5"/>
        <item x="138"/>
        <item x="144"/>
        <item x="194"/>
        <item x="70"/>
        <item x="159"/>
        <item x="135"/>
        <item x="17"/>
        <item x="30"/>
        <item x="78"/>
        <item x="93"/>
        <item x="155"/>
        <item x="53"/>
        <item x="123"/>
        <item x="188"/>
        <item x="15"/>
        <item x="166"/>
        <item x="137"/>
        <item x="59"/>
        <item x="58"/>
        <item x="149"/>
        <item x="156"/>
        <item x="146"/>
        <item x="163"/>
        <item x="170"/>
        <item x="83"/>
        <item x="91"/>
        <item x="177"/>
        <item x="79"/>
        <item x="100"/>
        <item x="44"/>
        <item x="12"/>
        <item x="154"/>
        <item x="153"/>
        <item x="43"/>
        <item x="129"/>
        <item x="86"/>
        <item x="132"/>
        <item x="35"/>
        <item x="46"/>
        <item x="114"/>
        <item x="81"/>
        <item x="164"/>
        <item x="22"/>
        <item x="75"/>
        <item x="130"/>
        <item x="174"/>
        <item x="9"/>
        <item x="121"/>
        <item x="56"/>
        <item x="71"/>
        <item x="16"/>
        <item x="187"/>
        <item x="27"/>
        <item x="179"/>
        <item x="148"/>
        <item x="64"/>
        <item x="82"/>
        <item x="8"/>
        <item x="73"/>
        <item x="61"/>
        <item x="87"/>
        <item x="54"/>
        <item x="13"/>
        <item x="193"/>
        <item x="181"/>
        <item x="119"/>
        <item t="default"/>
      </items>
    </pivotField>
    <pivotField dataField="1" compact="0" showAll="0">
      <items count="201">
        <item x="11"/>
        <item x="100"/>
        <item x="147"/>
        <item x="149"/>
        <item x="70"/>
        <item x="20"/>
        <item x="190"/>
        <item x="64"/>
        <item x="163"/>
        <item x="10"/>
        <item x="23"/>
        <item x="185"/>
        <item x="56"/>
        <item x="44"/>
        <item x="102"/>
        <item x="93"/>
        <item x="55"/>
        <item x="60"/>
        <item x="58"/>
        <item x="130"/>
        <item x="113"/>
        <item x="122"/>
        <item x="1"/>
        <item x="71"/>
        <item x="146"/>
        <item x="118"/>
        <item x="73"/>
        <item x="143"/>
        <item x="157"/>
        <item x="76"/>
        <item x="189"/>
        <item x="192"/>
        <item x="32"/>
        <item x="135"/>
        <item x="75"/>
        <item x="196"/>
        <item x="88"/>
        <item x="176"/>
        <item x="49"/>
        <item x="198"/>
        <item x="53"/>
        <item x="26"/>
        <item x="142"/>
        <item x="96"/>
        <item x="188"/>
        <item x="54"/>
        <item x="150"/>
        <item x="194"/>
        <item x="78"/>
        <item x="9"/>
        <item x="115"/>
        <item x="121"/>
        <item x="25"/>
        <item x="91"/>
        <item x="80"/>
        <item x="28"/>
        <item x="46"/>
        <item x="186"/>
        <item x="8"/>
        <item x="134"/>
        <item x="108"/>
        <item x="38"/>
        <item x="2"/>
        <item x="63"/>
        <item x="111"/>
        <item x="43"/>
        <item x="67"/>
        <item x="164"/>
        <item x="183"/>
        <item x="68"/>
        <item x="132"/>
        <item x="19"/>
        <item x="18"/>
        <item x="47"/>
        <item x="148"/>
        <item x="52"/>
        <item x="145"/>
        <item x="105"/>
        <item x="119"/>
        <item x="154"/>
        <item x="5"/>
        <item x="62"/>
        <item x="89"/>
        <item x="90"/>
        <item x="14"/>
        <item x="191"/>
        <item x="103"/>
        <item x="50"/>
        <item x="136"/>
        <item x="123"/>
        <item x="114"/>
        <item x="27"/>
        <item x="168"/>
        <item x="155"/>
        <item x="160"/>
        <item x="170"/>
        <item x="158"/>
        <item x="178"/>
        <item x="175"/>
        <item x="172"/>
        <item x="82"/>
        <item x="57"/>
        <item x="81"/>
        <item x="4"/>
        <item x="74"/>
        <item x="109"/>
        <item x="61"/>
        <item x="40"/>
        <item x="174"/>
        <item x="16"/>
        <item x="138"/>
        <item x="137"/>
        <item x="17"/>
        <item x="179"/>
        <item x="166"/>
        <item x="87"/>
        <item x="34"/>
        <item x="112"/>
        <item x="77"/>
        <item x="83"/>
        <item x="33"/>
        <item x="22"/>
        <item x="193"/>
        <item x="92"/>
        <item x="144"/>
        <item x="110"/>
        <item x="45"/>
        <item x="129"/>
        <item x="79"/>
        <item x="3"/>
        <item x="141"/>
        <item x="48"/>
        <item x="173"/>
        <item x="85"/>
        <item x="37"/>
        <item x="127"/>
        <item x="167"/>
        <item x="0"/>
        <item x="39"/>
        <item x="139"/>
        <item x="156"/>
        <item x="187"/>
        <item x="152"/>
        <item x="97"/>
        <item x="177"/>
        <item x="180"/>
        <item x="35"/>
        <item x="162"/>
        <item x="181"/>
        <item x="106"/>
        <item x="51"/>
        <item x="13"/>
        <item x="7"/>
        <item x="42"/>
        <item x="151"/>
        <item x="41"/>
        <item x="30"/>
        <item x="165"/>
        <item x="104"/>
        <item x="65"/>
        <item x="124"/>
        <item x="86"/>
        <item x="29"/>
        <item x="153"/>
        <item x="116"/>
        <item x="120"/>
        <item x="199"/>
        <item x="107"/>
        <item x="133"/>
        <item x="128"/>
        <item x="169"/>
        <item x="161"/>
        <item x="24"/>
        <item x="36"/>
        <item x="72"/>
        <item x="94"/>
        <item x="197"/>
        <item x="182"/>
        <item x="184"/>
        <item x="101"/>
        <item x="59"/>
        <item x="159"/>
        <item x="66"/>
        <item x="125"/>
        <item x="69"/>
        <item x="195"/>
        <item x="126"/>
        <item x="171"/>
        <item x="140"/>
        <item x="131"/>
        <item x="15"/>
        <item x="84"/>
        <item x="99"/>
        <item x="31"/>
        <item x="95"/>
        <item x="6"/>
        <item x="98"/>
        <item x="21"/>
        <item x="12"/>
        <item x="117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3"/>
        <item x="2"/>
        <item x="4"/>
        <item x="5"/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2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fit_Category" sourceName="Profit Category">
  <pivotTables>
    <pivotTable tabId="3" name="PivotTable2"/>
  </pivotTables>
  <data>
    <tabular pivotCacheId="1">
      <items count="4">
        <i x="3" s="1"/>
        <i x="1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3" name="PivotTable2"/>
  </pivotTables>
  <data>
    <tabular pivotCacheId="1">
      <items count="1"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Profit Category" cache="Slicer_Profit_Category" caption="Profit Category" rowHeight="225425"/>
  <slicer name="Year" cache="Slicer_Year" caption="Year" rowHeight="225425"/>
</slicers>
</file>

<file path=xl/tables/table1.xml><?xml version="1.0" encoding="utf-8"?>
<table xmlns="http://schemas.openxmlformats.org/spreadsheetml/2006/main" id="1" name="Table1" displayName="Table1" ref="A1:N201" totalsRowShown="0">
  <autoFilter xmlns:etc="http://www.wps.cn/officeDocument/2017/etCustomData" ref="A1:N201" etc:filterBottomFollowUsedRange="0"/>
  <tableColumns count="14">
    <tableColumn id="1" name="Date" dataDxfId="0"/>
    <tableColumn id="2" name="Region"/>
    <tableColumn id="3" name="Salesperson"/>
    <tableColumn id="4" name="Product"/>
    <tableColumn id="5" name="Units Sold"/>
    <tableColumn id="6" name="Revenue"/>
    <tableColumn id="7" name="Cost"/>
    <tableColumn id="8" name="Profit" dataDxfId="1">
      <calculatedColumnFormula>(F2-G2)</calculatedColumnFormula>
    </tableColumn>
    <tableColumn id="9" name="Profit Category" dataDxfId="2">
      <calculatedColumnFormula>IF(H2&lt;0,"Loss",IF(H2&lt;5000,"Low",IF(H2&lt;15000,"Medium","High")))</calculatedColumnFormula>
    </tableColumn>
    <tableColumn id="10" name="Performance Category" dataDxfId="3">
      <calculatedColumnFormula>IF(AND(E2&gt;100,H2&gt;10000),"High Performing","Normal")</calculatedColumnFormula>
    </tableColumn>
    <tableColumn id="11" name="Month" dataDxfId="4">
      <calculatedColumnFormula>TEXT(A2,"mmm")</calculatedColumnFormula>
    </tableColumn>
    <tableColumn id="12" name="Year" dataDxfId="5">
      <calculatedColumnFormula>YEAR(A2)</calculatedColumnFormula>
    </tableColumn>
    <tableColumn id="13" name="Top Salesperson" dataDxfId="6">
      <calculatedColumnFormula array="1">INDEX(D:D,MATCH(MAX(F:F),F:F,0))</calculatedColumnFormula>
    </tableColumn>
    <tableColumn id="14" name="Product CategoryXlookup" dataDxfId="7">
      <calculatedColumnFormula>IF(D2="Shoes","Footwear",IF(D2="Bags","Accessories",IF(D2="Wallets","Accessories",IF(D2="Belts","Accessories","Other"))))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P2:Q6" totalsRowShown="0">
  <autoFilter xmlns:etc="http://www.wps.cn/officeDocument/2017/etCustomData" ref="P2:Q6" etc:filterBottomFollowUsedRange="0"/>
  <tableColumns count="2">
    <tableColumn id="1" name="Product" dataDxfId="8"/>
    <tableColumn id="2" name="Category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"/>
  <sheetViews>
    <sheetView zoomScale="92" zoomScaleNormal="92" workbookViewId="0">
      <selection activeCell="S22" sqref="S22"/>
    </sheetView>
  </sheetViews>
  <sheetFormatPr defaultColWidth="8.88888888888889" defaultRowHeight="14.4"/>
  <sheetData>
    <row r="1" ht="46" customHeight="1" spans="1:36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</row>
    <row r="7" ht="15.15"/>
    <row r="8" ht="18.75" spans="1:36">
      <c r="U8" s="9" t="s">
        <v>1</v>
      </c>
    </row>
    <row r="9" spans="1:36">
      <c r="T9" s="10" t="s">
        <v>2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36">
      <c r="T10" s="10" t="s">
        <v>3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>
      <c r="T11" s="10" t="s">
        <v>4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</sheetData>
  <mergeCells count="1">
    <mergeCell ref="A1:W1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1"/>
  <sheetViews>
    <sheetView tabSelected="1" workbookViewId="0">
      <selection activeCell="N20" sqref="N20"/>
    </sheetView>
  </sheetViews>
  <sheetFormatPr defaultColWidth="9" defaultRowHeight="14.4"/>
  <cols>
    <col min="1" max="1" width="15.1111111111111" style="1" customWidth="1"/>
    <col min="3" max="3" width="10.6666666666667" customWidth="1"/>
    <col min="10" max="10" width="14.7777777777778" customWidth="1"/>
    <col min="11" max="11" width="15.1111111111111" customWidth="1"/>
    <col min="12" max="12" width="13.1111111111111" customWidth="1"/>
    <col min="14" max="14" width="15.4444444444444" customWidth="1"/>
  </cols>
  <sheetData>
    <row r="1" spans="1:17">
      <c r="A1" s="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7">
      <c r="A2" s="1">
        <v>45784</v>
      </c>
      <c r="B2" t="s">
        <v>19</v>
      </c>
      <c r="C2" t="s">
        <v>20</v>
      </c>
      <c r="D2" t="s">
        <v>21</v>
      </c>
      <c r="E2">
        <v>33</v>
      </c>
      <c r="F2">
        <v>11913</v>
      </c>
      <c r="G2">
        <v>-594</v>
      </c>
      <c r="H2" s="2">
        <f t="shared" ref="H2:H33" si="0">(F2-G2)</f>
        <v>12507</v>
      </c>
      <c r="I2" s="2" t="str">
        <f t="shared" ref="I2:I33" si="1">IF(H2&lt;0,"Loss",IF(H2&lt;5000,"Low",IF(H2&lt;15000,"Medium","High")))</f>
        <v>Medium</v>
      </c>
      <c r="J2" s="2" t="str">
        <f t="shared" ref="J2:J33" si="2">IF(AND(E2&gt;100,H2&gt;10000),"High Performing","Normal")</f>
        <v>Normal</v>
      </c>
      <c r="K2" s="2" t="str">
        <f t="shared" ref="K2:K33" si="3">TEXT(A2,"mmm")</f>
        <v>May</v>
      </c>
      <c r="L2" s="2">
        <f t="shared" ref="L2:L33" si="4">YEAR(A2)</f>
        <v>2025</v>
      </c>
      <c r="M2" s="2" t="str" cm="1">
        <f t="array" ref="M2">INDEX(D:D,MATCH(MAX(F:F),F:F,0))</f>
        <v>Shoes</v>
      </c>
      <c r="N2" s="3" t="str">
        <f>IF(D2="Shoes","Footwear",IF(D2="Bags","Accessories",IF(D2="Wallets","Accessories",IF(D2="Belts","Accessories","Other"))))</f>
        <v>Footwear</v>
      </c>
      <c r="P2" s="4" t="s">
        <v>8</v>
      </c>
      <c r="Q2" s="4" t="s">
        <v>22</v>
      </c>
    </row>
    <row r="3" spans="1:17">
      <c r="A3" s="1">
        <v>45779</v>
      </c>
      <c r="B3" t="s">
        <v>19</v>
      </c>
      <c r="C3" t="s">
        <v>23</v>
      </c>
      <c r="D3" t="s">
        <v>24</v>
      </c>
      <c r="E3">
        <v>42</v>
      </c>
      <c r="F3">
        <v>12138</v>
      </c>
      <c r="G3">
        <v>14823</v>
      </c>
      <c r="H3" s="2">
        <f t="shared" si="0"/>
        <v>-2685</v>
      </c>
      <c r="I3" s="2" t="str">
        <f t="shared" si="1"/>
        <v>Loss</v>
      </c>
      <c r="J3" s="2" t="str">
        <f t="shared" si="2"/>
        <v>Normal</v>
      </c>
      <c r="K3" s="2" t="str">
        <f t="shared" si="3"/>
        <v>May</v>
      </c>
      <c r="L3" s="2">
        <f t="shared" si="4"/>
        <v>2025</v>
      </c>
      <c r="M3" s="2" t="str" cm="1">
        <f t="array" ref="M3">INDEX(D:D,MATCH(MAX(F:F),F:F,0))</f>
        <v>Shoes</v>
      </c>
      <c r="N3" s="2" t="str">
        <f t="shared" ref="N2:N33" si="5">IF(D3="Shoes","Footwear",IF(D3="Bags","Accessories",IF(D3="Wallets","Accessories",IF(D3="Belts","Accessories","Other"))))</f>
        <v>Accessories</v>
      </c>
      <c r="P3" s="5" t="s">
        <v>21</v>
      </c>
      <c r="Q3" s="5" t="s">
        <v>25</v>
      </c>
    </row>
    <row r="4" ht="28.8" spans="1:17">
      <c r="A4" s="1">
        <v>45808</v>
      </c>
      <c r="B4" t="s">
        <v>19</v>
      </c>
      <c r="C4" t="s">
        <v>20</v>
      </c>
      <c r="D4" t="s">
        <v>24</v>
      </c>
      <c r="E4">
        <v>95</v>
      </c>
      <c r="F4">
        <v>21945</v>
      </c>
      <c r="G4">
        <v>20676</v>
      </c>
      <c r="H4" s="2">
        <f t="shared" si="0"/>
        <v>1269</v>
      </c>
      <c r="I4" s="2" t="str">
        <f t="shared" si="1"/>
        <v>Low</v>
      </c>
      <c r="J4" s="2" t="str">
        <f t="shared" si="2"/>
        <v>Normal</v>
      </c>
      <c r="K4" s="2" t="str">
        <f t="shared" si="3"/>
        <v>May</v>
      </c>
      <c r="L4" s="2">
        <f t="shared" si="4"/>
        <v>2025</v>
      </c>
      <c r="M4" s="2" t="str" cm="1">
        <f t="array" ref="M4">INDEX(D:D,MATCH(MAX(F:F),F:F,0))</f>
        <v>Shoes</v>
      </c>
      <c r="N4" s="2" t="str">
        <f t="shared" si="5"/>
        <v>Accessories</v>
      </c>
      <c r="P4" s="5" t="s">
        <v>24</v>
      </c>
      <c r="Q4" s="5" t="s">
        <v>26</v>
      </c>
    </row>
    <row r="5" ht="28.8" spans="1:17">
      <c r="A5" s="1">
        <v>45785</v>
      </c>
      <c r="B5" t="s">
        <v>27</v>
      </c>
      <c r="C5" t="s">
        <v>28</v>
      </c>
      <c r="D5" t="s">
        <v>29</v>
      </c>
      <c r="E5">
        <v>68</v>
      </c>
      <c r="F5">
        <v>46648</v>
      </c>
      <c r="G5">
        <v>35772</v>
      </c>
      <c r="H5" s="2">
        <f t="shared" si="0"/>
        <v>10876</v>
      </c>
      <c r="I5" s="2" t="str">
        <f t="shared" si="1"/>
        <v>Medium</v>
      </c>
      <c r="J5" s="2" t="str">
        <f t="shared" si="2"/>
        <v>Normal</v>
      </c>
      <c r="K5" s="2" t="str">
        <f t="shared" si="3"/>
        <v>May</v>
      </c>
      <c r="L5" s="2">
        <f t="shared" si="4"/>
        <v>2025</v>
      </c>
      <c r="M5" s="2" t="str" cm="1">
        <f t="array" ref="M5">INDEX(D:D,MATCH(MAX(F:F),F:F,0))</f>
        <v>Shoes</v>
      </c>
      <c r="N5" s="2" t="str">
        <f t="shared" si="5"/>
        <v>Accessories</v>
      </c>
      <c r="P5" s="5" t="s">
        <v>29</v>
      </c>
      <c r="Q5" s="5" t="s">
        <v>26</v>
      </c>
    </row>
    <row r="6" ht="28.8" spans="1:17">
      <c r="A6" s="1">
        <v>45818</v>
      </c>
      <c r="B6" t="s">
        <v>27</v>
      </c>
      <c r="C6" t="s">
        <v>30</v>
      </c>
      <c r="D6" t="s">
        <v>21</v>
      </c>
      <c r="E6">
        <v>181</v>
      </c>
      <c r="F6">
        <v>56291</v>
      </c>
      <c r="G6">
        <v>50027</v>
      </c>
      <c r="H6" s="2">
        <f t="shared" si="0"/>
        <v>6264</v>
      </c>
      <c r="I6" s="2" t="str">
        <f t="shared" si="1"/>
        <v>Medium</v>
      </c>
      <c r="J6" s="2" t="str">
        <f t="shared" si="2"/>
        <v>Normal</v>
      </c>
      <c r="K6" s="2" t="str">
        <f t="shared" si="3"/>
        <v>Jun</v>
      </c>
      <c r="L6" s="2">
        <f t="shared" si="4"/>
        <v>2025</v>
      </c>
      <c r="M6" s="2" t="str" cm="1">
        <f t="array" ref="M6">INDEX(D:D,MATCH(MAX(F:F),F:F,0))</f>
        <v>Shoes</v>
      </c>
      <c r="N6" s="2" t="str">
        <f t="shared" si="5"/>
        <v>Footwear</v>
      </c>
      <c r="P6" s="5" t="s">
        <v>31</v>
      </c>
      <c r="Q6" s="5" t="s">
        <v>26</v>
      </c>
    </row>
    <row r="7" spans="1:17">
      <c r="A7" s="1">
        <v>45690</v>
      </c>
      <c r="B7" t="s">
        <v>32</v>
      </c>
      <c r="C7" t="s">
        <v>20</v>
      </c>
      <c r="D7" t="s">
        <v>24</v>
      </c>
      <c r="E7">
        <v>57</v>
      </c>
      <c r="F7">
        <v>54606</v>
      </c>
      <c r="G7">
        <v>51397</v>
      </c>
      <c r="H7" s="2">
        <f t="shared" si="0"/>
        <v>3209</v>
      </c>
      <c r="I7" s="2" t="str">
        <f t="shared" si="1"/>
        <v>Low</v>
      </c>
      <c r="J7" s="2" t="str">
        <f t="shared" si="2"/>
        <v>Normal</v>
      </c>
      <c r="K7" s="2" t="str">
        <f t="shared" si="3"/>
        <v>Feb</v>
      </c>
      <c r="L7" s="2">
        <f t="shared" si="4"/>
        <v>2025</v>
      </c>
      <c r="M7" s="2" t="str" cm="1">
        <f t="array" ref="M7">INDEX(D:D,MATCH(MAX(F:F),F:F,0))</f>
        <v>Shoes</v>
      </c>
      <c r="N7" s="2" t="str">
        <f t="shared" si="5"/>
        <v>Accessories</v>
      </c>
    </row>
    <row r="8" spans="1:17">
      <c r="A8" s="1">
        <v>45686</v>
      </c>
      <c r="B8" t="s">
        <v>33</v>
      </c>
      <c r="C8" t="s">
        <v>20</v>
      </c>
      <c r="D8" t="s">
        <v>29</v>
      </c>
      <c r="E8">
        <v>35</v>
      </c>
      <c r="F8">
        <v>24185</v>
      </c>
      <c r="G8">
        <v>4449</v>
      </c>
      <c r="H8" s="2">
        <f t="shared" si="0"/>
        <v>19736</v>
      </c>
      <c r="I8" s="2" t="str">
        <f t="shared" si="1"/>
        <v>High</v>
      </c>
      <c r="J8" s="2" t="str">
        <f t="shared" si="2"/>
        <v>Normal</v>
      </c>
      <c r="K8" s="2" t="str">
        <f t="shared" si="3"/>
        <v>Jan</v>
      </c>
      <c r="L8" s="2">
        <f t="shared" si="4"/>
        <v>2025</v>
      </c>
      <c r="M8" s="2" t="str" cm="1">
        <f t="array" ref="M8">INDEX(D:D,MATCH(MAX(F:F),F:F,0))</f>
        <v>Shoes</v>
      </c>
      <c r="N8" s="2" t="str">
        <f t="shared" si="5"/>
        <v>Accessories</v>
      </c>
    </row>
    <row r="9" spans="1:17">
      <c r="A9" s="1">
        <v>45712</v>
      </c>
      <c r="B9" t="s">
        <v>27</v>
      </c>
      <c r="C9" t="s">
        <v>30</v>
      </c>
      <c r="D9" t="s">
        <v>31</v>
      </c>
      <c r="E9">
        <v>37</v>
      </c>
      <c r="F9">
        <v>13098</v>
      </c>
      <c r="G9">
        <v>-1180</v>
      </c>
      <c r="H9" s="2">
        <f t="shared" si="0"/>
        <v>14278</v>
      </c>
      <c r="I9" s="2" t="str">
        <f t="shared" si="1"/>
        <v>Medium</v>
      </c>
      <c r="J9" s="2" t="str">
        <f t="shared" si="2"/>
        <v>Normal</v>
      </c>
      <c r="K9" s="2" t="str">
        <f t="shared" si="3"/>
        <v>Feb</v>
      </c>
      <c r="L9" s="2">
        <f t="shared" si="4"/>
        <v>2025</v>
      </c>
      <c r="M9" s="2" t="str" cm="1">
        <f t="array" ref="M9">INDEX(D:D,MATCH(MAX(F:F),F:F,0))</f>
        <v>Shoes</v>
      </c>
      <c r="N9" s="2" t="str">
        <f t="shared" si="5"/>
        <v>Accessories</v>
      </c>
    </row>
    <row r="10" spans="1:17">
      <c r="A10" s="1">
        <v>45724</v>
      </c>
      <c r="B10" t="s">
        <v>33</v>
      </c>
      <c r="C10" t="s">
        <v>28</v>
      </c>
      <c r="D10" t="s">
        <v>21</v>
      </c>
      <c r="E10">
        <v>190</v>
      </c>
      <c r="F10">
        <v>149530</v>
      </c>
      <c r="G10">
        <v>148457</v>
      </c>
      <c r="H10" s="2">
        <f t="shared" si="0"/>
        <v>1073</v>
      </c>
      <c r="I10" s="2" t="str">
        <f t="shared" si="1"/>
        <v>Low</v>
      </c>
      <c r="J10" s="2" t="str">
        <f t="shared" si="2"/>
        <v>Normal</v>
      </c>
      <c r="K10" s="2" t="str">
        <f t="shared" si="3"/>
        <v>Mar</v>
      </c>
      <c r="L10" s="2">
        <f t="shared" si="4"/>
        <v>2025</v>
      </c>
      <c r="M10" s="2" t="str" cm="1">
        <f t="array" ref="M10">INDEX(D:D,MATCH(MAX(F:F),F:F,0))</f>
        <v>Shoes</v>
      </c>
      <c r="N10" s="2" t="str">
        <f t="shared" si="5"/>
        <v>Footwear</v>
      </c>
    </row>
    <row r="11" spans="1:17">
      <c r="A11" s="1">
        <v>45748</v>
      </c>
      <c r="B11" t="s">
        <v>27</v>
      </c>
      <c r="C11" t="s">
        <v>30</v>
      </c>
      <c r="D11" t="s">
        <v>29</v>
      </c>
      <c r="E11">
        <v>200</v>
      </c>
      <c r="F11">
        <v>123000</v>
      </c>
      <c r="G11">
        <v>122852</v>
      </c>
      <c r="H11" s="2">
        <f t="shared" si="0"/>
        <v>148</v>
      </c>
      <c r="I11" s="2" t="str">
        <f t="shared" si="1"/>
        <v>Low</v>
      </c>
      <c r="J11" s="2" t="str">
        <f t="shared" si="2"/>
        <v>Normal</v>
      </c>
      <c r="K11" s="2" t="str">
        <f t="shared" si="3"/>
        <v>Apr</v>
      </c>
      <c r="L11" s="2">
        <f t="shared" si="4"/>
        <v>2025</v>
      </c>
      <c r="M11" s="2" t="str" cm="1">
        <f t="array" ref="M11">INDEX(D:D,MATCH(MAX(F:F),F:F,0))</f>
        <v>Shoes</v>
      </c>
      <c r="N11" s="2" t="str">
        <f t="shared" si="5"/>
        <v>Accessories</v>
      </c>
    </row>
    <row r="12" spans="1:17">
      <c r="A12" s="1">
        <v>45782</v>
      </c>
      <c r="B12" t="s">
        <v>33</v>
      </c>
      <c r="C12" t="s">
        <v>28</v>
      </c>
      <c r="D12" t="s">
        <v>31</v>
      </c>
      <c r="E12">
        <v>40</v>
      </c>
      <c r="F12">
        <v>10400</v>
      </c>
      <c r="G12">
        <v>14664</v>
      </c>
      <c r="H12" s="2">
        <f t="shared" si="0"/>
        <v>-4264</v>
      </c>
      <c r="I12" s="2" t="str">
        <f t="shared" si="1"/>
        <v>Loss</v>
      </c>
      <c r="J12" s="2" t="str">
        <f t="shared" si="2"/>
        <v>Normal</v>
      </c>
      <c r="K12" s="2" t="str">
        <f t="shared" si="3"/>
        <v>May</v>
      </c>
      <c r="L12" s="2">
        <f t="shared" si="4"/>
        <v>2025</v>
      </c>
      <c r="M12" s="2" t="str" cm="1">
        <f t="array" ref="M12">INDEX(D:D,MATCH(MAX(F:F),F:F,0))</f>
        <v>Shoes</v>
      </c>
      <c r="N12" s="2" t="str">
        <f t="shared" si="5"/>
        <v>Accessories</v>
      </c>
    </row>
    <row r="13" spans="1:17">
      <c r="A13" s="1">
        <v>45779</v>
      </c>
      <c r="B13" t="s">
        <v>19</v>
      </c>
      <c r="C13" t="s">
        <v>34</v>
      </c>
      <c r="D13" t="s">
        <v>21</v>
      </c>
      <c r="E13">
        <v>58</v>
      </c>
      <c r="F13">
        <v>20706</v>
      </c>
      <c r="G13">
        <v>25549</v>
      </c>
      <c r="H13" s="2">
        <f t="shared" si="0"/>
        <v>-4843</v>
      </c>
      <c r="I13" s="2" t="str">
        <f t="shared" si="1"/>
        <v>Loss</v>
      </c>
      <c r="J13" s="2" t="str">
        <f t="shared" si="2"/>
        <v>Normal</v>
      </c>
      <c r="K13" s="2" t="str">
        <f t="shared" si="3"/>
        <v>May</v>
      </c>
      <c r="L13" s="2">
        <f t="shared" si="4"/>
        <v>2025</v>
      </c>
      <c r="M13" s="2" t="str" cm="1">
        <f t="array" ref="M13">INDEX(D:D,MATCH(MAX(F:F),F:F,0))</f>
        <v>Shoes</v>
      </c>
      <c r="N13" s="2" t="str">
        <f t="shared" si="5"/>
        <v>Footwear</v>
      </c>
    </row>
    <row r="14" spans="1:17">
      <c r="A14" s="1">
        <v>45804</v>
      </c>
      <c r="B14" t="s">
        <v>19</v>
      </c>
      <c r="C14" t="s">
        <v>20</v>
      </c>
      <c r="D14" t="s">
        <v>21</v>
      </c>
      <c r="E14">
        <v>135</v>
      </c>
      <c r="F14">
        <v>107595</v>
      </c>
      <c r="G14">
        <v>87756</v>
      </c>
      <c r="H14" s="2">
        <f t="shared" si="0"/>
        <v>19839</v>
      </c>
      <c r="I14" s="2" t="str">
        <f t="shared" si="1"/>
        <v>High</v>
      </c>
      <c r="J14" s="2" t="str">
        <f t="shared" si="2"/>
        <v>High Performing</v>
      </c>
      <c r="K14" s="2" t="str">
        <f t="shared" si="3"/>
        <v>May</v>
      </c>
      <c r="L14" s="2">
        <f t="shared" si="4"/>
        <v>2025</v>
      </c>
      <c r="M14" s="2" t="str" cm="1">
        <f t="array" ref="M14">INDEX(D:D,MATCH(MAX(F:F),F:F,0))</f>
        <v>Shoes</v>
      </c>
      <c r="N14" s="2" t="str">
        <f t="shared" si="5"/>
        <v>Footwear</v>
      </c>
    </row>
    <row r="15" spans="1:17">
      <c r="A15" s="1">
        <v>45744</v>
      </c>
      <c r="B15" t="s">
        <v>27</v>
      </c>
      <c r="C15" t="s">
        <v>30</v>
      </c>
      <c r="D15" t="s">
        <v>21</v>
      </c>
      <c r="E15">
        <v>193</v>
      </c>
      <c r="F15">
        <v>185087</v>
      </c>
      <c r="G15">
        <v>170928</v>
      </c>
      <c r="H15" s="2">
        <f t="shared" si="0"/>
        <v>14159</v>
      </c>
      <c r="I15" s="2" t="str">
        <f t="shared" si="1"/>
        <v>Medium</v>
      </c>
      <c r="J15" s="2" t="str">
        <f t="shared" si="2"/>
        <v>High Performing</v>
      </c>
      <c r="K15" s="2" t="str">
        <f t="shared" si="3"/>
        <v>Mar</v>
      </c>
      <c r="L15" s="2">
        <f t="shared" si="4"/>
        <v>2025</v>
      </c>
      <c r="M15" s="2" t="str" cm="1">
        <f t="array" ref="M15">INDEX(D:D,MATCH(MAX(F:F),F:F,0))</f>
        <v>Shoes</v>
      </c>
      <c r="N15" s="2" t="str">
        <f t="shared" si="5"/>
        <v>Footwear</v>
      </c>
    </row>
    <row r="16" spans="1:17">
      <c r="A16" s="1">
        <v>45688</v>
      </c>
      <c r="B16" t="s">
        <v>19</v>
      </c>
      <c r="C16" t="s">
        <v>23</v>
      </c>
      <c r="D16" t="s">
        <v>31</v>
      </c>
      <c r="E16">
        <v>101</v>
      </c>
      <c r="F16">
        <v>39996</v>
      </c>
      <c r="G16">
        <v>36054</v>
      </c>
      <c r="H16" s="2">
        <f t="shared" si="0"/>
        <v>3942</v>
      </c>
      <c r="I16" s="2" t="str">
        <f t="shared" si="1"/>
        <v>Low</v>
      </c>
      <c r="J16" s="2" t="str">
        <f t="shared" si="2"/>
        <v>Normal</v>
      </c>
      <c r="K16" s="2" t="str">
        <f t="shared" si="3"/>
        <v>Jan</v>
      </c>
      <c r="L16" s="2">
        <f t="shared" si="4"/>
        <v>2025</v>
      </c>
      <c r="M16" s="2" t="str" cm="1">
        <f t="array" ref="M16">INDEX(D:D,MATCH(MAX(F:F),F:F,0))</f>
        <v>Shoes</v>
      </c>
      <c r="N16" s="2" t="str">
        <f t="shared" si="5"/>
        <v>Accessories</v>
      </c>
    </row>
    <row r="17" spans="1:14">
      <c r="A17" s="1">
        <v>45764</v>
      </c>
      <c r="B17" t="s">
        <v>32</v>
      </c>
      <c r="C17" t="s">
        <v>28</v>
      </c>
      <c r="D17" t="s">
        <v>24</v>
      </c>
      <c r="E17">
        <v>186</v>
      </c>
      <c r="F17">
        <v>81282</v>
      </c>
      <c r="G17">
        <v>62167</v>
      </c>
      <c r="H17" s="2">
        <f t="shared" si="0"/>
        <v>19115</v>
      </c>
      <c r="I17" s="2" t="str">
        <f t="shared" si="1"/>
        <v>High</v>
      </c>
      <c r="J17" s="2" t="str">
        <f t="shared" si="2"/>
        <v>High Performing</v>
      </c>
      <c r="K17" s="2" t="str">
        <f t="shared" si="3"/>
        <v>Apr</v>
      </c>
      <c r="L17" s="2">
        <f t="shared" si="4"/>
        <v>2025</v>
      </c>
      <c r="M17" s="2" t="str" cm="1">
        <f t="array" ref="M17">INDEX(D:D,MATCH(MAX(F:F),F:F,0))</f>
        <v>Shoes</v>
      </c>
      <c r="N17" s="2" t="str">
        <f t="shared" si="5"/>
        <v>Accessories</v>
      </c>
    </row>
    <row r="18" spans="1:14">
      <c r="A18" s="1">
        <v>45796</v>
      </c>
      <c r="B18" t="s">
        <v>27</v>
      </c>
      <c r="C18" t="s">
        <v>34</v>
      </c>
      <c r="D18" t="s">
        <v>31</v>
      </c>
      <c r="E18">
        <v>188</v>
      </c>
      <c r="F18">
        <v>138368</v>
      </c>
      <c r="G18">
        <v>131546</v>
      </c>
      <c r="H18" s="2">
        <f t="shared" si="0"/>
        <v>6822</v>
      </c>
      <c r="I18" s="2" t="str">
        <f t="shared" si="1"/>
        <v>Medium</v>
      </c>
      <c r="J18" s="2" t="str">
        <f t="shared" si="2"/>
        <v>Normal</v>
      </c>
      <c r="K18" s="2" t="str">
        <f t="shared" si="3"/>
        <v>May</v>
      </c>
      <c r="L18" s="2">
        <f t="shared" si="4"/>
        <v>2025</v>
      </c>
      <c r="M18" s="2" t="str" cm="1">
        <f t="array" ref="M18">INDEX(D:D,MATCH(MAX(F:F),F:F,0))</f>
        <v>Shoes</v>
      </c>
      <c r="N18" s="2" t="str">
        <f t="shared" si="5"/>
        <v>Accessories</v>
      </c>
    </row>
    <row r="19" spans="1:14">
      <c r="A19" s="1">
        <v>45747</v>
      </c>
      <c r="B19" t="s">
        <v>33</v>
      </c>
      <c r="C19" t="s">
        <v>30</v>
      </c>
      <c r="D19" t="s">
        <v>24</v>
      </c>
      <c r="E19">
        <v>99</v>
      </c>
      <c r="F19">
        <v>60885</v>
      </c>
      <c r="G19">
        <v>53303</v>
      </c>
      <c r="H19" s="2">
        <f t="shared" si="0"/>
        <v>7582</v>
      </c>
      <c r="I19" s="2" t="str">
        <f t="shared" si="1"/>
        <v>Medium</v>
      </c>
      <c r="J19" s="2" t="str">
        <f t="shared" si="2"/>
        <v>Normal</v>
      </c>
      <c r="K19" s="2" t="str">
        <f t="shared" si="3"/>
        <v>Mar</v>
      </c>
      <c r="L19" s="2">
        <f t="shared" si="4"/>
        <v>2025</v>
      </c>
      <c r="M19" s="2" t="str" cm="1">
        <f t="array" ref="M19">INDEX(D:D,MATCH(MAX(F:F),F:F,0))</f>
        <v>Shoes</v>
      </c>
      <c r="N19" s="2" t="str">
        <f t="shared" si="5"/>
        <v>Accessories</v>
      </c>
    </row>
    <row r="20" spans="1:14">
      <c r="A20" s="1">
        <v>45783</v>
      </c>
      <c r="B20" t="s">
        <v>19</v>
      </c>
      <c r="C20" t="s">
        <v>30</v>
      </c>
      <c r="D20" t="s">
        <v>21</v>
      </c>
      <c r="E20">
        <v>179</v>
      </c>
      <c r="F20">
        <v>52984</v>
      </c>
      <c r="G20">
        <v>50674</v>
      </c>
      <c r="H20" s="2">
        <f t="shared" si="0"/>
        <v>2310</v>
      </c>
      <c r="I20" s="2" t="str">
        <f t="shared" si="1"/>
        <v>Low</v>
      </c>
      <c r="J20" s="2" t="str">
        <f t="shared" si="2"/>
        <v>Normal</v>
      </c>
      <c r="K20" s="2" t="str">
        <f t="shared" si="3"/>
        <v>May</v>
      </c>
      <c r="L20" s="2">
        <f t="shared" si="4"/>
        <v>2025</v>
      </c>
      <c r="M20" s="2" t="str" cm="1">
        <f t="array" ref="M20">INDEX(D:D,MATCH(MAX(F:F),F:F,0))</f>
        <v>Shoes</v>
      </c>
      <c r="N20" s="2" t="str">
        <f t="shared" si="5"/>
        <v>Footwear</v>
      </c>
    </row>
    <row r="21" spans="1:14">
      <c r="A21" s="1">
        <v>45709</v>
      </c>
      <c r="B21" t="s">
        <v>19</v>
      </c>
      <c r="C21" t="s">
        <v>30</v>
      </c>
      <c r="D21" t="s">
        <v>21</v>
      </c>
      <c r="E21">
        <v>53</v>
      </c>
      <c r="F21">
        <v>28461</v>
      </c>
      <c r="G21">
        <v>26209</v>
      </c>
      <c r="H21" s="2">
        <f t="shared" si="0"/>
        <v>2252</v>
      </c>
      <c r="I21" s="2" t="str">
        <f t="shared" si="1"/>
        <v>Low</v>
      </c>
      <c r="J21" s="2" t="str">
        <f t="shared" si="2"/>
        <v>Normal</v>
      </c>
      <c r="K21" s="2" t="str">
        <f t="shared" si="3"/>
        <v>Feb</v>
      </c>
      <c r="L21" s="2">
        <f t="shared" si="4"/>
        <v>2025</v>
      </c>
      <c r="M21" s="2" t="str" cm="1">
        <f t="array" ref="M21">INDEX(D:D,MATCH(MAX(F:F),F:F,0))</f>
        <v>Shoes</v>
      </c>
      <c r="N21" s="2" t="str">
        <f t="shared" si="5"/>
        <v>Footwear</v>
      </c>
    </row>
    <row r="22" spans="1:14">
      <c r="A22" s="1">
        <v>45781</v>
      </c>
      <c r="B22" t="s">
        <v>27</v>
      </c>
      <c r="C22" t="s">
        <v>23</v>
      </c>
      <c r="D22" t="s">
        <v>24</v>
      </c>
      <c r="E22">
        <v>49</v>
      </c>
      <c r="F22">
        <v>18718</v>
      </c>
      <c r="G22">
        <v>23131</v>
      </c>
      <c r="H22" s="2">
        <f t="shared" si="0"/>
        <v>-4413</v>
      </c>
      <c r="I22" s="2" t="str">
        <f t="shared" si="1"/>
        <v>Loss</v>
      </c>
      <c r="J22" s="2" t="str">
        <f t="shared" si="2"/>
        <v>Normal</v>
      </c>
      <c r="K22" s="2" t="str">
        <f t="shared" si="3"/>
        <v>May</v>
      </c>
      <c r="L22" s="2">
        <f t="shared" si="4"/>
        <v>2025</v>
      </c>
      <c r="M22" s="2" t="str" cm="1">
        <f t="array" ref="M22">INDEX(D:D,MATCH(MAX(F:F),F:F,0))</f>
        <v>Shoes</v>
      </c>
      <c r="N22" s="2" t="str">
        <f t="shared" si="5"/>
        <v>Accessories</v>
      </c>
    </row>
    <row r="23" spans="1:14">
      <c r="A23" s="1">
        <v>45713</v>
      </c>
      <c r="B23" t="s">
        <v>33</v>
      </c>
      <c r="C23" t="s">
        <v>23</v>
      </c>
      <c r="D23" t="s">
        <v>24</v>
      </c>
      <c r="E23">
        <v>85</v>
      </c>
      <c r="F23">
        <v>51425</v>
      </c>
      <c r="G23">
        <v>31598</v>
      </c>
      <c r="H23" s="2">
        <f t="shared" si="0"/>
        <v>19827</v>
      </c>
      <c r="I23" s="2" t="str">
        <f t="shared" si="1"/>
        <v>High</v>
      </c>
      <c r="J23" s="2" t="str">
        <f t="shared" si="2"/>
        <v>Normal</v>
      </c>
      <c r="K23" s="2" t="str">
        <f t="shared" si="3"/>
        <v>Feb</v>
      </c>
      <c r="L23" s="2">
        <f t="shared" si="4"/>
        <v>2025</v>
      </c>
      <c r="M23" s="2" t="str" cm="1">
        <f t="array" ref="M23">INDEX(D:D,MATCH(MAX(F:F),F:F,0))</f>
        <v>Shoes</v>
      </c>
      <c r="N23" s="2" t="str">
        <f t="shared" si="5"/>
        <v>Accessories</v>
      </c>
    </row>
    <row r="24" spans="1:14">
      <c r="A24" s="1">
        <v>45802</v>
      </c>
      <c r="B24" t="s">
        <v>32</v>
      </c>
      <c r="C24" t="s">
        <v>20</v>
      </c>
      <c r="D24" t="s">
        <v>29</v>
      </c>
      <c r="E24">
        <v>140</v>
      </c>
      <c r="F24">
        <v>127540</v>
      </c>
      <c r="G24">
        <v>118438</v>
      </c>
      <c r="H24" s="2">
        <f t="shared" si="0"/>
        <v>9102</v>
      </c>
      <c r="I24" s="2" t="str">
        <f t="shared" si="1"/>
        <v>Medium</v>
      </c>
      <c r="J24" s="2" t="str">
        <f t="shared" si="2"/>
        <v>Normal</v>
      </c>
      <c r="K24" s="2" t="str">
        <f t="shared" si="3"/>
        <v>May</v>
      </c>
      <c r="L24" s="2">
        <f t="shared" si="4"/>
        <v>2025</v>
      </c>
      <c r="M24" s="2" t="str" cm="1">
        <f t="array" ref="M24">INDEX(D:D,MATCH(MAX(F:F),F:F,0))</f>
        <v>Shoes</v>
      </c>
      <c r="N24" s="2" t="str">
        <f t="shared" si="5"/>
        <v>Accessories</v>
      </c>
    </row>
    <row r="25" spans="1:14">
      <c r="A25" s="1">
        <v>45803</v>
      </c>
      <c r="B25" t="s">
        <v>32</v>
      </c>
      <c r="C25" t="s">
        <v>28</v>
      </c>
      <c r="D25" t="s">
        <v>29</v>
      </c>
      <c r="E25">
        <v>67</v>
      </c>
      <c r="F25">
        <v>20636</v>
      </c>
      <c r="G25">
        <v>24471</v>
      </c>
      <c r="H25" s="2">
        <f t="shared" si="0"/>
        <v>-3835</v>
      </c>
      <c r="I25" s="2" t="str">
        <f t="shared" si="1"/>
        <v>Loss</v>
      </c>
      <c r="J25" s="2" t="str">
        <f t="shared" si="2"/>
        <v>Normal</v>
      </c>
      <c r="K25" s="2" t="str">
        <f t="shared" si="3"/>
        <v>May</v>
      </c>
      <c r="L25" s="2">
        <f t="shared" si="4"/>
        <v>2025</v>
      </c>
      <c r="M25" s="2" t="str" cm="1">
        <f t="array" ref="M25">INDEX(D:D,MATCH(MAX(F:F),F:F,0))</f>
        <v>Shoes</v>
      </c>
      <c r="N25" s="2" t="str">
        <f t="shared" si="5"/>
        <v>Accessories</v>
      </c>
    </row>
    <row r="26" spans="1:14">
      <c r="A26" s="1">
        <v>45743</v>
      </c>
      <c r="B26" t="s">
        <v>32</v>
      </c>
      <c r="C26" t="s">
        <v>34</v>
      </c>
      <c r="D26" t="s">
        <v>21</v>
      </c>
      <c r="E26">
        <v>69</v>
      </c>
      <c r="F26">
        <v>28083</v>
      </c>
      <c r="G26">
        <v>11118</v>
      </c>
      <c r="H26" s="2">
        <f t="shared" si="0"/>
        <v>16965</v>
      </c>
      <c r="I26" s="2" t="str">
        <f t="shared" si="1"/>
        <v>High</v>
      </c>
      <c r="J26" s="2" t="str">
        <f t="shared" si="2"/>
        <v>Normal</v>
      </c>
      <c r="K26" s="2" t="str">
        <f t="shared" si="3"/>
        <v>Mar</v>
      </c>
      <c r="L26" s="2">
        <f t="shared" si="4"/>
        <v>2025</v>
      </c>
      <c r="M26" s="2" t="str" cm="1">
        <f t="array" ref="M26">INDEX(D:D,MATCH(MAX(F:F),F:F,0))</f>
        <v>Shoes</v>
      </c>
      <c r="N26" s="2" t="str">
        <f t="shared" si="5"/>
        <v>Footwear</v>
      </c>
    </row>
    <row r="27" spans="1:14">
      <c r="A27" s="1">
        <v>45665</v>
      </c>
      <c r="B27" t="s">
        <v>27</v>
      </c>
      <c r="C27" t="s">
        <v>20</v>
      </c>
      <c r="D27" t="s">
        <v>31</v>
      </c>
      <c r="E27">
        <v>92</v>
      </c>
      <c r="F27">
        <v>21988</v>
      </c>
      <c r="G27">
        <v>21711</v>
      </c>
      <c r="H27" s="2">
        <f t="shared" si="0"/>
        <v>277</v>
      </c>
      <c r="I27" s="2" t="str">
        <f t="shared" si="1"/>
        <v>Low</v>
      </c>
      <c r="J27" s="2" t="str">
        <f t="shared" si="2"/>
        <v>Normal</v>
      </c>
      <c r="K27" s="2" t="str">
        <f t="shared" si="3"/>
        <v>Jan</v>
      </c>
      <c r="L27" s="2">
        <f t="shared" si="4"/>
        <v>2025</v>
      </c>
      <c r="M27" s="2" t="str" cm="1">
        <f t="array" ref="M27">INDEX(D:D,MATCH(MAX(F:F),F:F,0))</f>
        <v>Shoes</v>
      </c>
      <c r="N27" s="2" t="str">
        <f t="shared" si="5"/>
        <v>Accessories</v>
      </c>
    </row>
    <row r="28" spans="1:14">
      <c r="A28" s="1">
        <v>45745</v>
      </c>
      <c r="B28" t="s">
        <v>27</v>
      </c>
      <c r="C28" t="s">
        <v>30</v>
      </c>
      <c r="D28" t="s">
        <v>21</v>
      </c>
      <c r="E28">
        <v>77</v>
      </c>
      <c r="F28">
        <v>23254</v>
      </c>
      <c r="G28">
        <v>23885</v>
      </c>
      <c r="H28" s="2">
        <f t="shared" si="0"/>
        <v>-631</v>
      </c>
      <c r="I28" s="2" t="str">
        <f t="shared" si="1"/>
        <v>Loss</v>
      </c>
      <c r="J28" s="2" t="str">
        <f t="shared" si="2"/>
        <v>Normal</v>
      </c>
      <c r="K28" s="2" t="str">
        <f t="shared" si="3"/>
        <v>Mar</v>
      </c>
      <c r="L28" s="2">
        <f t="shared" si="4"/>
        <v>2025</v>
      </c>
      <c r="M28" s="2" t="str" cm="1">
        <f t="array" ref="M28">INDEX(D:D,MATCH(MAX(F:F),F:F,0))</f>
        <v>Shoes</v>
      </c>
      <c r="N28" s="2" t="str">
        <f t="shared" si="5"/>
        <v>Footwear</v>
      </c>
    </row>
    <row r="29" spans="1:14">
      <c r="A29" s="1">
        <v>45748</v>
      </c>
      <c r="B29" t="s">
        <v>32</v>
      </c>
      <c r="C29" t="s">
        <v>30</v>
      </c>
      <c r="D29" t="s">
        <v>31</v>
      </c>
      <c r="E29">
        <v>179</v>
      </c>
      <c r="F29">
        <v>141052</v>
      </c>
      <c r="G29">
        <v>136227</v>
      </c>
      <c r="H29" s="2">
        <f t="shared" si="0"/>
        <v>4825</v>
      </c>
      <c r="I29" s="2" t="str">
        <f t="shared" si="1"/>
        <v>Low</v>
      </c>
      <c r="J29" s="2" t="str">
        <f t="shared" si="2"/>
        <v>Normal</v>
      </c>
      <c r="K29" s="2" t="str">
        <f t="shared" si="3"/>
        <v>Apr</v>
      </c>
      <c r="L29" s="2">
        <f t="shared" si="4"/>
        <v>2025</v>
      </c>
      <c r="M29" s="2" t="str" cm="1">
        <f t="array" ref="M29">INDEX(D:D,MATCH(MAX(F:F),F:F,0))</f>
        <v>Shoes</v>
      </c>
      <c r="N29" s="2" t="str">
        <f t="shared" si="5"/>
        <v>Accessories</v>
      </c>
    </row>
    <row r="30" spans="1:14">
      <c r="A30" s="1">
        <v>45662</v>
      </c>
      <c r="B30" t="s">
        <v>19</v>
      </c>
      <c r="C30" t="s">
        <v>34</v>
      </c>
      <c r="D30" t="s">
        <v>29</v>
      </c>
      <c r="E30">
        <v>65</v>
      </c>
      <c r="F30">
        <v>38740</v>
      </c>
      <c r="G30">
        <v>37981</v>
      </c>
      <c r="H30" s="2">
        <f t="shared" si="0"/>
        <v>759</v>
      </c>
      <c r="I30" s="2" t="str">
        <f t="shared" si="1"/>
        <v>Low</v>
      </c>
      <c r="J30" s="2" t="str">
        <f t="shared" si="2"/>
        <v>Normal</v>
      </c>
      <c r="K30" s="2" t="str">
        <f t="shared" si="3"/>
        <v>Jan</v>
      </c>
      <c r="L30" s="2">
        <f t="shared" si="4"/>
        <v>2025</v>
      </c>
      <c r="M30" s="2" t="str" cm="1">
        <f t="array" ref="M30">INDEX(D:D,MATCH(MAX(F:F),F:F,0))</f>
        <v>Shoes</v>
      </c>
      <c r="N30" s="2" t="str">
        <f t="shared" si="5"/>
        <v>Accessories</v>
      </c>
    </row>
    <row r="31" spans="1:14">
      <c r="A31" s="1">
        <v>45757</v>
      </c>
      <c r="B31" t="s">
        <v>27</v>
      </c>
      <c r="C31" t="s">
        <v>30</v>
      </c>
      <c r="D31" t="s">
        <v>21</v>
      </c>
      <c r="E31">
        <v>81</v>
      </c>
      <c r="F31">
        <v>60669</v>
      </c>
      <c r="G31">
        <v>44878</v>
      </c>
      <c r="H31" s="2">
        <f t="shared" si="0"/>
        <v>15791</v>
      </c>
      <c r="I31" s="2" t="str">
        <f t="shared" si="1"/>
        <v>High</v>
      </c>
      <c r="J31" s="2" t="str">
        <f t="shared" si="2"/>
        <v>Normal</v>
      </c>
      <c r="K31" s="2" t="str">
        <f t="shared" si="3"/>
        <v>Apr</v>
      </c>
      <c r="L31" s="2">
        <f t="shared" si="4"/>
        <v>2025</v>
      </c>
      <c r="M31" s="2" t="str" cm="1">
        <f t="array" ref="M31">INDEX(D:D,MATCH(MAX(F:F),F:F,0))</f>
        <v>Shoes</v>
      </c>
      <c r="N31" s="2" t="str">
        <f t="shared" si="5"/>
        <v>Footwear</v>
      </c>
    </row>
    <row r="32" spans="1:14">
      <c r="A32" s="1">
        <v>45809</v>
      </c>
      <c r="B32" t="s">
        <v>27</v>
      </c>
      <c r="C32" t="s">
        <v>34</v>
      </c>
      <c r="D32" t="s">
        <v>29</v>
      </c>
      <c r="E32">
        <v>136</v>
      </c>
      <c r="F32">
        <v>69088</v>
      </c>
      <c r="G32">
        <v>54473</v>
      </c>
      <c r="H32" s="2">
        <f t="shared" si="0"/>
        <v>14615</v>
      </c>
      <c r="I32" s="2" t="str">
        <f t="shared" si="1"/>
        <v>Medium</v>
      </c>
      <c r="J32" s="2" t="str">
        <f t="shared" si="2"/>
        <v>High Performing</v>
      </c>
      <c r="K32" s="2" t="str">
        <f t="shared" si="3"/>
        <v>Jun</v>
      </c>
      <c r="L32" s="2">
        <f t="shared" si="4"/>
        <v>2025</v>
      </c>
      <c r="M32" s="2" t="str" cm="1">
        <f t="array" ref="M32">INDEX(D:D,MATCH(MAX(F:F),F:F,0))</f>
        <v>Shoes</v>
      </c>
      <c r="N32" s="2" t="str">
        <f t="shared" si="5"/>
        <v>Accessories</v>
      </c>
    </row>
    <row r="33" spans="1:14">
      <c r="A33" s="1">
        <v>45750</v>
      </c>
      <c r="B33" t="s">
        <v>27</v>
      </c>
      <c r="C33" t="s">
        <v>28</v>
      </c>
      <c r="D33" t="s">
        <v>31</v>
      </c>
      <c r="E33">
        <v>52</v>
      </c>
      <c r="F33">
        <v>27716</v>
      </c>
      <c r="G33">
        <v>8364</v>
      </c>
      <c r="H33" s="2">
        <f t="shared" si="0"/>
        <v>19352</v>
      </c>
      <c r="I33" s="2" t="str">
        <f t="shared" si="1"/>
        <v>High</v>
      </c>
      <c r="J33" s="2" t="str">
        <f t="shared" si="2"/>
        <v>Normal</v>
      </c>
      <c r="K33" s="2" t="str">
        <f t="shared" si="3"/>
        <v>Apr</v>
      </c>
      <c r="L33" s="2">
        <f t="shared" si="4"/>
        <v>2025</v>
      </c>
      <c r="M33" s="2" t="str" cm="1">
        <f t="array" ref="M33">INDEX(D:D,MATCH(MAX(F:F),F:F,0))</f>
        <v>Shoes</v>
      </c>
      <c r="N33" s="2" t="str">
        <f t="shared" si="5"/>
        <v>Accessories</v>
      </c>
    </row>
    <row r="34" spans="1:14">
      <c r="A34" s="1">
        <v>45677</v>
      </c>
      <c r="B34" t="s">
        <v>32</v>
      </c>
      <c r="C34" t="s">
        <v>20</v>
      </c>
      <c r="D34" t="s">
        <v>21</v>
      </c>
      <c r="E34">
        <v>105</v>
      </c>
      <c r="F34">
        <v>28140</v>
      </c>
      <c r="G34">
        <v>30019</v>
      </c>
      <c r="H34" s="2">
        <f t="shared" ref="H34:H65" si="6">(F34-G34)</f>
        <v>-1879</v>
      </c>
      <c r="I34" s="2" t="str">
        <f t="shared" ref="I34:I65" si="7">IF(H34&lt;0,"Loss",IF(H34&lt;5000,"Low",IF(H34&lt;15000,"Medium","High")))</f>
        <v>Loss</v>
      </c>
      <c r="J34" s="2" t="str">
        <f t="shared" ref="J34:J65" si="8">IF(AND(E34&gt;100,H34&gt;10000),"High Performing","Normal")</f>
        <v>Normal</v>
      </c>
      <c r="K34" s="2" t="str">
        <f t="shared" ref="K34:K65" si="9">TEXT(A34,"mmm")</f>
        <v>Jan</v>
      </c>
      <c r="L34" s="2">
        <f t="shared" ref="L34:L65" si="10">YEAR(A34)</f>
        <v>2025</v>
      </c>
      <c r="M34" s="2" t="str" cm="1">
        <f t="array" ref="M34">INDEX(D:D,MATCH(MAX(F:F),F:F,0))</f>
        <v>Shoes</v>
      </c>
      <c r="N34" s="2" t="str">
        <f t="shared" ref="N34:N65" si="11">IF(D34="Shoes","Footwear",IF(D34="Bags","Accessories",IF(D34="Wallets","Accessories",IF(D34="Belts","Accessories","Other"))))</f>
        <v>Footwear</v>
      </c>
    </row>
    <row r="35" spans="1:14">
      <c r="A35" s="1">
        <v>45801</v>
      </c>
      <c r="B35" t="s">
        <v>19</v>
      </c>
      <c r="C35" t="s">
        <v>20</v>
      </c>
      <c r="D35" t="s">
        <v>29</v>
      </c>
      <c r="E35">
        <v>115</v>
      </c>
      <c r="F35">
        <v>23575</v>
      </c>
      <c r="G35">
        <v>14629</v>
      </c>
      <c r="H35" s="2">
        <f t="shared" si="6"/>
        <v>8946</v>
      </c>
      <c r="I35" s="2" t="str">
        <f t="shared" si="7"/>
        <v>Medium</v>
      </c>
      <c r="J35" s="2" t="str">
        <f t="shared" si="8"/>
        <v>Normal</v>
      </c>
      <c r="K35" s="2" t="str">
        <f t="shared" si="9"/>
        <v>May</v>
      </c>
      <c r="L35" s="2">
        <f t="shared" si="10"/>
        <v>2025</v>
      </c>
      <c r="M35" s="2" t="str" cm="1">
        <f t="array" ref="M35">INDEX(D:D,MATCH(MAX(F:F),F:F,0))</f>
        <v>Shoes</v>
      </c>
      <c r="N35" s="2" t="str">
        <f t="shared" si="11"/>
        <v>Accessories</v>
      </c>
    </row>
    <row r="36" spans="1:14">
      <c r="A36" s="1">
        <v>45684</v>
      </c>
      <c r="B36" t="s">
        <v>19</v>
      </c>
      <c r="C36" t="s">
        <v>34</v>
      </c>
      <c r="D36" t="s">
        <v>21</v>
      </c>
      <c r="E36">
        <v>10</v>
      </c>
      <c r="F36">
        <v>6780</v>
      </c>
      <c r="G36">
        <v>-1242</v>
      </c>
      <c r="H36" s="2">
        <f t="shared" si="6"/>
        <v>8022</v>
      </c>
      <c r="I36" s="2" t="str">
        <f t="shared" si="7"/>
        <v>Medium</v>
      </c>
      <c r="J36" s="2" t="str">
        <f t="shared" si="8"/>
        <v>Normal</v>
      </c>
      <c r="K36" s="2" t="str">
        <f t="shared" si="9"/>
        <v>Jan</v>
      </c>
      <c r="L36" s="2">
        <f t="shared" si="10"/>
        <v>2025</v>
      </c>
      <c r="M36" s="2" t="str" cm="1">
        <f t="array" ref="M36">INDEX(D:D,MATCH(MAX(F:F),F:F,0))</f>
        <v>Shoes</v>
      </c>
      <c r="N36" s="2" t="str">
        <f t="shared" si="11"/>
        <v>Footwear</v>
      </c>
    </row>
    <row r="37" spans="1:14">
      <c r="A37" s="1">
        <v>45738</v>
      </c>
      <c r="B37" t="s">
        <v>27</v>
      </c>
      <c r="C37" t="s">
        <v>23</v>
      </c>
      <c r="D37" t="s">
        <v>29</v>
      </c>
      <c r="E37">
        <v>192</v>
      </c>
      <c r="F37">
        <v>118464</v>
      </c>
      <c r="G37">
        <v>104575</v>
      </c>
      <c r="H37" s="2">
        <f t="shared" si="6"/>
        <v>13889</v>
      </c>
      <c r="I37" s="2" t="str">
        <f t="shared" si="7"/>
        <v>Medium</v>
      </c>
      <c r="J37" s="2" t="str">
        <f t="shared" si="8"/>
        <v>High Performing</v>
      </c>
      <c r="K37" s="2" t="str">
        <f t="shared" si="9"/>
        <v>Mar</v>
      </c>
      <c r="L37" s="2">
        <f t="shared" si="10"/>
        <v>2025</v>
      </c>
      <c r="M37" s="2" t="str" cm="1">
        <f t="array" ref="M37">INDEX(D:D,MATCH(MAX(F:F),F:F,0))</f>
        <v>Shoes</v>
      </c>
      <c r="N37" s="2" t="str">
        <f t="shared" si="11"/>
        <v>Accessories</v>
      </c>
    </row>
    <row r="38" spans="1:14">
      <c r="A38" s="1">
        <v>45773</v>
      </c>
      <c r="B38" t="s">
        <v>32</v>
      </c>
      <c r="C38" t="s">
        <v>20</v>
      </c>
      <c r="D38" t="s">
        <v>21</v>
      </c>
      <c r="E38">
        <v>48</v>
      </c>
      <c r="F38">
        <v>30528</v>
      </c>
      <c r="G38">
        <v>13409</v>
      </c>
      <c r="H38" s="2">
        <f t="shared" si="6"/>
        <v>17119</v>
      </c>
      <c r="I38" s="2" t="str">
        <f t="shared" si="7"/>
        <v>High</v>
      </c>
      <c r="J38" s="2" t="str">
        <f t="shared" si="8"/>
        <v>Normal</v>
      </c>
      <c r="K38" s="2" t="str">
        <f t="shared" si="9"/>
        <v>Apr</v>
      </c>
      <c r="L38" s="2">
        <f t="shared" si="10"/>
        <v>2025</v>
      </c>
      <c r="M38" s="2" t="str" cm="1">
        <f t="array" ref="M38">INDEX(D:D,MATCH(MAX(F:F),F:F,0))</f>
        <v>Shoes</v>
      </c>
      <c r="N38" s="2" t="str">
        <f t="shared" si="11"/>
        <v>Footwear</v>
      </c>
    </row>
    <row r="39" spans="1:14">
      <c r="A39" s="1">
        <v>45729</v>
      </c>
      <c r="B39" t="s">
        <v>27</v>
      </c>
      <c r="C39" t="s">
        <v>20</v>
      </c>
      <c r="D39" t="s">
        <v>21</v>
      </c>
      <c r="E39">
        <v>86</v>
      </c>
      <c r="F39">
        <v>51858</v>
      </c>
      <c r="G39">
        <v>40329</v>
      </c>
      <c r="H39" s="2">
        <f t="shared" si="6"/>
        <v>11529</v>
      </c>
      <c r="I39" s="2" t="str">
        <f t="shared" si="7"/>
        <v>Medium</v>
      </c>
      <c r="J39" s="2" t="str">
        <f t="shared" si="8"/>
        <v>Normal</v>
      </c>
      <c r="K39" s="2" t="str">
        <f t="shared" si="9"/>
        <v>Mar</v>
      </c>
      <c r="L39" s="2">
        <f t="shared" si="10"/>
        <v>2025</v>
      </c>
      <c r="M39" s="2" t="str" cm="1">
        <f t="array" ref="M39">INDEX(D:D,MATCH(MAX(F:F),F:F,0))</f>
        <v>Shoes</v>
      </c>
      <c r="N39" s="2" t="str">
        <f t="shared" si="11"/>
        <v>Footwear</v>
      </c>
    </row>
    <row r="40" spans="1:14">
      <c r="A40" s="1">
        <v>45673</v>
      </c>
      <c r="B40" t="s">
        <v>33</v>
      </c>
      <c r="C40" t="s">
        <v>20</v>
      </c>
      <c r="D40" t="s">
        <v>29</v>
      </c>
      <c r="E40">
        <v>79</v>
      </c>
      <c r="F40">
        <v>18328</v>
      </c>
      <c r="G40">
        <v>17138</v>
      </c>
      <c r="H40" s="2">
        <f t="shared" si="6"/>
        <v>1190</v>
      </c>
      <c r="I40" s="2" t="str">
        <f t="shared" si="7"/>
        <v>Low</v>
      </c>
      <c r="J40" s="2" t="str">
        <f t="shared" si="8"/>
        <v>Normal</v>
      </c>
      <c r="K40" s="2" t="str">
        <f t="shared" si="9"/>
        <v>Jan</v>
      </c>
      <c r="L40" s="2">
        <f t="shared" si="10"/>
        <v>2025</v>
      </c>
      <c r="M40" s="2" t="str" cm="1">
        <f t="array" ref="M40">INDEX(D:D,MATCH(MAX(F:F),F:F,0))</f>
        <v>Shoes</v>
      </c>
      <c r="N40" s="2" t="str">
        <f t="shared" si="11"/>
        <v>Accessories</v>
      </c>
    </row>
    <row r="41" spans="1:14">
      <c r="A41" s="1">
        <v>45816</v>
      </c>
      <c r="B41" t="s">
        <v>32</v>
      </c>
      <c r="C41" t="s">
        <v>20</v>
      </c>
      <c r="D41" t="s">
        <v>24</v>
      </c>
      <c r="E41">
        <v>11</v>
      </c>
      <c r="F41">
        <v>10307</v>
      </c>
      <c r="G41">
        <v>-2241</v>
      </c>
      <c r="H41" s="2">
        <f t="shared" si="6"/>
        <v>12548</v>
      </c>
      <c r="I41" s="2" t="str">
        <f t="shared" si="7"/>
        <v>Medium</v>
      </c>
      <c r="J41" s="2" t="str">
        <f t="shared" si="8"/>
        <v>Normal</v>
      </c>
      <c r="K41" s="2" t="str">
        <f t="shared" si="9"/>
        <v>Jun</v>
      </c>
      <c r="L41" s="2">
        <f t="shared" si="10"/>
        <v>2025</v>
      </c>
      <c r="M41" s="2" t="str" cm="1">
        <f t="array" ref="M41">INDEX(D:D,MATCH(MAX(F:F),F:F,0))</f>
        <v>Shoes</v>
      </c>
      <c r="N41" s="2" t="str">
        <f t="shared" si="11"/>
        <v>Accessories</v>
      </c>
    </row>
    <row r="42" spans="1:14">
      <c r="A42" s="1">
        <v>45828</v>
      </c>
      <c r="B42" t="s">
        <v>27</v>
      </c>
      <c r="C42" t="s">
        <v>20</v>
      </c>
      <c r="D42" t="s">
        <v>29</v>
      </c>
      <c r="E42">
        <v>69</v>
      </c>
      <c r="F42">
        <v>25461</v>
      </c>
      <c r="G42">
        <v>18803</v>
      </c>
      <c r="H42" s="2">
        <f t="shared" si="6"/>
        <v>6658</v>
      </c>
      <c r="I42" s="2" t="str">
        <f t="shared" si="7"/>
        <v>Medium</v>
      </c>
      <c r="J42" s="2" t="str">
        <f t="shared" si="8"/>
        <v>Normal</v>
      </c>
      <c r="K42" s="2" t="str">
        <f t="shared" si="9"/>
        <v>Jun</v>
      </c>
      <c r="L42" s="2">
        <f t="shared" si="10"/>
        <v>2025</v>
      </c>
      <c r="M42" s="2" t="str" cm="1">
        <f t="array" ref="M42">INDEX(D:D,MATCH(MAX(F:F),F:F,0))</f>
        <v>Shoes</v>
      </c>
      <c r="N42" s="2" t="str">
        <f t="shared" si="11"/>
        <v>Accessories</v>
      </c>
    </row>
    <row r="43" spans="1:14">
      <c r="A43" s="1">
        <v>45786</v>
      </c>
      <c r="B43" t="s">
        <v>27</v>
      </c>
      <c r="C43" t="s">
        <v>28</v>
      </c>
      <c r="D43" t="s">
        <v>31</v>
      </c>
      <c r="E43">
        <v>13</v>
      </c>
      <c r="F43">
        <v>12285</v>
      </c>
      <c r="G43">
        <v>-2233</v>
      </c>
      <c r="H43" s="2">
        <f t="shared" si="6"/>
        <v>14518</v>
      </c>
      <c r="I43" s="2" t="str">
        <f t="shared" si="7"/>
        <v>Medium</v>
      </c>
      <c r="J43" s="2" t="str">
        <f t="shared" si="8"/>
        <v>Normal</v>
      </c>
      <c r="K43" s="2" t="str">
        <f t="shared" si="9"/>
        <v>May</v>
      </c>
      <c r="L43" s="2">
        <f t="shared" si="10"/>
        <v>2025</v>
      </c>
      <c r="M43" s="2" t="str" cm="1">
        <f t="array" ref="M43">INDEX(D:D,MATCH(MAX(F:F),F:F,0))</f>
        <v>Shoes</v>
      </c>
      <c r="N43" s="2" t="str">
        <f t="shared" si="11"/>
        <v>Accessories</v>
      </c>
    </row>
    <row r="44" spans="1:14">
      <c r="A44" s="1">
        <v>45799</v>
      </c>
      <c r="B44" t="s">
        <v>19</v>
      </c>
      <c r="C44" t="s">
        <v>20</v>
      </c>
      <c r="D44" t="s">
        <v>21</v>
      </c>
      <c r="E44">
        <v>38</v>
      </c>
      <c r="F44">
        <v>37772</v>
      </c>
      <c r="G44">
        <v>23480</v>
      </c>
      <c r="H44" s="2">
        <f t="shared" si="6"/>
        <v>14292</v>
      </c>
      <c r="I44" s="2" t="str">
        <f t="shared" si="7"/>
        <v>Medium</v>
      </c>
      <c r="J44" s="2" t="str">
        <f t="shared" si="8"/>
        <v>Normal</v>
      </c>
      <c r="K44" s="2" t="str">
        <f t="shared" si="9"/>
        <v>May</v>
      </c>
      <c r="L44" s="2">
        <f t="shared" si="10"/>
        <v>2025</v>
      </c>
      <c r="M44" s="2" t="str" cm="1">
        <f t="array" ref="M44">INDEX(D:D,MATCH(MAX(F:F),F:F,0))</f>
        <v>Shoes</v>
      </c>
      <c r="N44" s="2" t="str">
        <f t="shared" si="11"/>
        <v>Footwear</v>
      </c>
    </row>
    <row r="45" spans="1:14">
      <c r="A45" s="1">
        <v>45754</v>
      </c>
      <c r="B45" t="s">
        <v>33</v>
      </c>
      <c r="C45" t="s">
        <v>30</v>
      </c>
      <c r="D45" t="s">
        <v>29</v>
      </c>
      <c r="E45">
        <v>192</v>
      </c>
      <c r="F45">
        <v>99456</v>
      </c>
      <c r="G45">
        <v>97811</v>
      </c>
      <c r="H45" s="2">
        <f t="shared" si="6"/>
        <v>1645</v>
      </c>
      <c r="I45" s="2" t="str">
        <f t="shared" si="7"/>
        <v>Low</v>
      </c>
      <c r="J45" s="2" t="str">
        <f t="shared" si="8"/>
        <v>Normal</v>
      </c>
      <c r="K45" s="2" t="str">
        <f t="shared" si="9"/>
        <v>Apr</v>
      </c>
      <c r="L45" s="2">
        <f t="shared" si="10"/>
        <v>2025</v>
      </c>
      <c r="M45" s="2" t="str" cm="1">
        <f t="array" ref="M45">INDEX(D:D,MATCH(MAX(F:F),F:F,0))</f>
        <v>Shoes</v>
      </c>
      <c r="N45" s="2" t="str">
        <f t="shared" si="11"/>
        <v>Accessories</v>
      </c>
    </row>
    <row r="46" spans="1:14">
      <c r="A46" s="1">
        <v>45723</v>
      </c>
      <c r="B46" t="s">
        <v>19</v>
      </c>
      <c r="C46" t="s">
        <v>23</v>
      </c>
      <c r="D46" t="s">
        <v>21</v>
      </c>
      <c r="E46">
        <v>133</v>
      </c>
      <c r="F46">
        <v>83923</v>
      </c>
      <c r="G46">
        <v>87523</v>
      </c>
      <c r="H46" s="2">
        <f t="shared" si="6"/>
        <v>-3600</v>
      </c>
      <c r="I46" s="2" t="str">
        <f t="shared" si="7"/>
        <v>Loss</v>
      </c>
      <c r="J46" s="2" t="str">
        <f t="shared" si="8"/>
        <v>Normal</v>
      </c>
      <c r="K46" s="2" t="str">
        <f t="shared" si="9"/>
        <v>Mar</v>
      </c>
      <c r="L46" s="2">
        <f t="shared" si="10"/>
        <v>2025</v>
      </c>
      <c r="M46" s="2" t="str" cm="1">
        <f t="array" ref="M46">INDEX(D:D,MATCH(MAX(F:F),F:F,0))</f>
        <v>Shoes</v>
      </c>
      <c r="N46" s="2" t="str">
        <f t="shared" si="11"/>
        <v>Footwear</v>
      </c>
    </row>
    <row r="47" spans="1:14">
      <c r="A47" s="1">
        <v>45729</v>
      </c>
      <c r="B47" t="s">
        <v>19</v>
      </c>
      <c r="C47" t="s">
        <v>30</v>
      </c>
      <c r="D47" t="s">
        <v>24</v>
      </c>
      <c r="E47">
        <v>181</v>
      </c>
      <c r="F47">
        <v>61721</v>
      </c>
      <c r="G47">
        <v>51327</v>
      </c>
      <c r="H47" s="2">
        <f t="shared" si="6"/>
        <v>10394</v>
      </c>
      <c r="I47" s="2" t="str">
        <f t="shared" si="7"/>
        <v>Medium</v>
      </c>
      <c r="J47" s="2" t="str">
        <f t="shared" si="8"/>
        <v>High Performing</v>
      </c>
      <c r="K47" s="2" t="str">
        <f t="shared" si="9"/>
        <v>Mar</v>
      </c>
      <c r="L47" s="2">
        <f t="shared" si="10"/>
        <v>2025</v>
      </c>
      <c r="M47" s="2" t="str" cm="1">
        <f t="array" ref="M47">INDEX(D:D,MATCH(MAX(F:F),F:F,0))</f>
        <v>Shoes</v>
      </c>
      <c r="N47" s="2" t="str">
        <f t="shared" si="11"/>
        <v>Accessories</v>
      </c>
    </row>
    <row r="48" spans="1:14">
      <c r="A48" s="1">
        <v>45768</v>
      </c>
      <c r="B48" t="s">
        <v>19</v>
      </c>
      <c r="C48" t="s">
        <v>23</v>
      </c>
      <c r="D48" t="s">
        <v>29</v>
      </c>
      <c r="E48">
        <v>139</v>
      </c>
      <c r="F48">
        <v>113980</v>
      </c>
      <c r="G48">
        <v>113054</v>
      </c>
      <c r="H48" s="2">
        <f t="shared" si="6"/>
        <v>926</v>
      </c>
      <c r="I48" s="2" t="str">
        <f t="shared" si="7"/>
        <v>Low</v>
      </c>
      <c r="J48" s="2" t="str">
        <f t="shared" si="8"/>
        <v>Normal</v>
      </c>
      <c r="K48" s="2" t="str">
        <f t="shared" si="9"/>
        <v>Apr</v>
      </c>
      <c r="L48" s="2">
        <f t="shared" si="10"/>
        <v>2025</v>
      </c>
      <c r="M48" s="2" t="str" cm="1">
        <f t="array" ref="M48">INDEX(D:D,MATCH(MAX(F:F),F:F,0))</f>
        <v>Shoes</v>
      </c>
      <c r="N48" s="2" t="str">
        <f t="shared" si="11"/>
        <v>Accessories</v>
      </c>
    </row>
    <row r="49" spans="1:14">
      <c r="A49" s="1">
        <v>45748</v>
      </c>
      <c r="B49" t="s">
        <v>19</v>
      </c>
      <c r="C49" t="s">
        <v>20</v>
      </c>
      <c r="D49" t="s">
        <v>31</v>
      </c>
      <c r="E49">
        <v>15</v>
      </c>
      <c r="F49">
        <v>14460</v>
      </c>
      <c r="G49">
        <v>12078</v>
      </c>
      <c r="H49" s="2">
        <f t="shared" si="6"/>
        <v>2382</v>
      </c>
      <c r="I49" s="2" t="str">
        <f t="shared" si="7"/>
        <v>Low</v>
      </c>
      <c r="J49" s="2" t="str">
        <f t="shared" si="8"/>
        <v>Normal</v>
      </c>
      <c r="K49" s="2" t="str">
        <f t="shared" si="9"/>
        <v>Apr</v>
      </c>
      <c r="L49" s="2">
        <f t="shared" si="10"/>
        <v>2025</v>
      </c>
      <c r="M49" s="2" t="str" cm="1">
        <f t="array" ref="M49">INDEX(D:D,MATCH(MAX(F:F),F:F,0))</f>
        <v>Shoes</v>
      </c>
      <c r="N49" s="2" t="str">
        <f t="shared" si="11"/>
        <v>Accessories</v>
      </c>
    </row>
    <row r="50" spans="1:14">
      <c r="A50" s="1">
        <v>45692</v>
      </c>
      <c r="B50" t="s">
        <v>33</v>
      </c>
      <c r="C50" t="s">
        <v>28</v>
      </c>
      <c r="D50" t="s">
        <v>24</v>
      </c>
      <c r="E50">
        <v>69</v>
      </c>
      <c r="F50">
        <v>47541</v>
      </c>
      <c r="G50">
        <v>36426</v>
      </c>
      <c r="H50" s="2">
        <f t="shared" si="6"/>
        <v>11115</v>
      </c>
      <c r="I50" s="2" t="str">
        <f t="shared" si="7"/>
        <v>Medium</v>
      </c>
      <c r="J50" s="2" t="str">
        <f t="shared" si="8"/>
        <v>Normal</v>
      </c>
      <c r="K50" s="2" t="str">
        <f t="shared" si="9"/>
        <v>Feb</v>
      </c>
      <c r="L50" s="2">
        <f t="shared" si="10"/>
        <v>2025</v>
      </c>
      <c r="M50" s="2" t="str" cm="1">
        <f t="array" ref="M50">INDEX(D:D,MATCH(MAX(F:F),F:F,0))</f>
        <v>Shoes</v>
      </c>
      <c r="N50" s="2" t="str">
        <f t="shared" si="11"/>
        <v>Accessories</v>
      </c>
    </row>
    <row r="51" spans="1:14">
      <c r="A51" s="1">
        <v>45723</v>
      </c>
      <c r="B51" t="s">
        <v>19</v>
      </c>
      <c r="C51" t="s">
        <v>28</v>
      </c>
      <c r="D51" t="s">
        <v>29</v>
      </c>
      <c r="E51">
        <v>93</v>
      </c>
      <c r="F51">
        <v>18693</v>
      </c>
      <c r="G51">
        <v>20012</v>
      </c>
      <c r="H51" s="2">
        <f t="shared" si="6"/>
        <v>-1319</v>
      </c>
      <c r="I51" s="2" t="str">
        <f t="shared" si="7"/>
        <v>Loss</v>
      </c>
      <c r="J51" s="2" t="str">
        <f t="shared" si="8"/>
        <v>Normal</v>
      </c>
      <c r="K51" s="2" t="str">
        <f t="shared" si="9"/>
        <v>Mar</v>
      </c>
      <c r="L51" s="2">
        <f t="shared" si="10"/>
        <v>2025</v>
      </c>
      <c r="M51" s="2" t="str" cm="1">
        <f t="array" ref="M51">INDEX(D:D,MATCH(MAX(F:F),F:F,0))</f>
        <v>Shoes</v>
      </c>
      <c r="N51" s="2" t="str">
        <f t="shared" si="11"/>
        <v>Accessories</v>
      </c>
    </row>
    <row r="52" spans="1:14">
      <c r="A52" s="1">
        <v>45781</v>
      </c>
      <c r="B52" t="s">
        <v>32</v>
      </c>
      <c r="C52" t="s">
        <v>28</v>
      </c>
      <c r="D52" t="s">
        <v>29</v>
      </c>
      <c r="E52">
        <v>67</v>
      </c>
      <c r="F52">
        <v>17822</v>
      </c>
      <c r="G52">
        <v>13418</v>
      </c>
      <c r="H52" s="2">
        <f t="shared" si="6"/>
        <v>4404</v>
      </c>
      <c r="I52" s="2" t="str">
        <f t="shared" si="7"/>
        <v>Low</v>
      </c>
      <c r="J52" s="2" t="str">
        <f t="shared" si="8"/>
        <v>Normal</v>
      </c>
      <c r="K52" s="2" t="str">
        <f t="shared" si="9"/>
        <v>May</v>
      </c>
      <c r="L52" s="2">
        <f t="shared" si="10"/>
        <v>2025</v>
      </c>
      <c r="M52" s="2" t="str" cm="1">
        <f t="array" ref="M52">INDEX(D:D,MATCH(MAX(F:F),F:F,0))</f>
        <v>Shoes</v>
      </c>
      <c r="N52" s="2" t="str">
        <f t="shared" si="11"/>
        <v>Accessories</v>
      </c>
    </row>
    <row r="53" spans="1:14">
      <c r="A53" s="1">
        <v>45760</v>
      </c>
      <c r="B53" t="s">
        <v>27</v>
      </c>
      <c r="C53" t="s">
        <v>23</v>
      </c>
      <c r="D53" t="s">
        <v>24</v>
      </c>
      <c r="E53">
        <v>60</v>
      </c>
      <c r="F53">
        <v>57000</v>
      </c>
      <c r="G53">
        <v>42880</v>
      </c>
      <c r="H53" s="2">
        <f t="shared" si="6"/>
        <v>14120</v>
      </c>
      <c r="I53" s="2" t="str">
        <f t="shared" si="7"/>
        <v>Medium</v>
      </c>
      <c r="J53" s="2" t="str">
        <f t="shared" si="8"/>
        <v>Normal</v>
      </c>
      <c r="K53" s="2" t="str">
        <f t="shared" si="9"/>
        <v>Apr</v>
      </c>
      <c r="L53" s="2">
        <f t="shared" si="10"/>
        <v>2025</v>
      </c>
      <c r="M53" s="2" t="str" cm="1">
        <f t="array" ref="M53">INDEX(D:D,MATCH(MAX(F:F),F:F,0))</f>
        <v>Shoes</v>
      </c>
      <c r="N53" s="2" t="str">
        <f t="shared" si="11"/>
        <v>Accessories</v>
      </c>
    </row>
    <row r="54" spans="1:14">
      <c r="A54" s="1">
        <v>45793</v>
      </c>
      <c r="B54" t="s">
        <v>33</v>
      </c>
      <c r="C54" t="s">
        <v>34</v>
      </c>
      <c r="D54" t="s">
        <v>29</v>
      </c>
      <c r="E54">
        <v>133</v>
      </c>
      <c r="F54">
        <v>49343</v>
      </c>
      <c r="G54">
        <v>46938</v>
      </c>
      <c r="H54" s="2">
        <f t="shared" si="6"/>
        <v>2405</v>
      </c>
      <c r="I54" s="2" t="str">
        <f t="shared" si="7"/>
        <v>Low</v>
      </c>
      <c r="J54" s="2" t="str">
        <f t="shared" si="8"/>
        <v>Normal</v>
      </c>
      <c r="K54" s="2" t="str">
        <f t="shared" si="9"/>
        <v>May</v>
      </c>
      <c r="L54" s="2">
        <f t="shared" si="10"/>
        <v>2025</v>
      </c>
      <c r="M54" s="2" t="str" cm="1">
        <f t="array" ref="M54">INDEX(D:D,MATCH(MAX(F:F),F:F,0))</f>
        <v>Shoes</v>
      </c>
      <c r="N54" s="2" t="str">
        <f t="shared" si="11"/>
        <v>Accessories</v>
      </c>
    </row>
    <row r="55" spans="1:14">
      <c r="A55" s="1">
        <v>45713</v>
      </c>
      <c r="B55" t="s">
        <v>19</v>
      </c>
      <c r="C55" t="s">
        <v>23</v>
      </c>
      <c r="D55" t="s">
        <v>24</v>
      </c>
      <c r="E55">
        <v>151</v>
      </c>
      <c r="F55">
        <v>56927</v>
      </c>
      <c r="G55">
        <v>57633</v>
      </c>
      <c r="H55" s="2">
        <f t="shared" si="6"/>
        <v>-706</v>
      </c>
      <c r="I55" s="2" t="str">
        <f t="shared" si="7"/>
        <v>Loss</v>
      </c>
      <c r="J55" s="2" t="str">
        <f t="shared" si="8"/>
        <v>Normal</v>
      </c>
      <c r="K55" s="2" t="str">
        <f t="shared" si="9"/>
        <v>Feb</v>
      </c>
      <c r="L55" s="2">
        <f t="shared" si="10"/>
        <v>2025</v>
      </c>
      <c r="M55" s="2" t="str" cm="1">
        <f t="array" ref="M55">INDEX(D:D,MATCH(MAX(F:F),F:F,0))</f>
        <v>Shoes</v>
      </c>
      <c r="N55" s="2" t="str">
        <f t="shared" si="11"/>
        <v>Accessories</v>
      </c>
    </row>
    <row r="56" spans="1:14">
      <c r="A56" s="1">
        <v>45831</v>
      </c>
      <c r="B56" t="s">
        <v>32</v>
      </c>
      <c r="C56" t="s">
        <v>30</v>
      </c>
      <c r="D56" t="s">
        <v>21</v>
      </c>
      <c r="E56">
        <v>180</v>
      </c>
      <c r="F56">
        <v>168120</v>
      </c>
      <c r="G56">
        <v>168365</v>
      </c>
      <c r="H56" s="2">
        <f t="shared" si="6"/>
        <v>-245</v>
      </c>
      <c r="I56" s="2" t="str">
        <f t="shared" si="7"/>
        <v>Loss</v>
      </c>
      <c r="J56" s="2" t="str">
        <f t="shared" si="8"/>
        <v>Normal</v>
      </c>
      <c r="K56" s="2" t="str">
        <f t="shared" si="9"/>
        <v>Jun</v>
      </c>
      <c r="L56" s="2">
        <f t="shared" si="10"/>
        <v>2025</v>
      </c>
      <c r="M56" s="2" t="str" cm="1">
        <f t="array" ref="M56">INDEX(D:D,MATCH(MAX(F:F),F:F,0))</f>
        <v>Shoes</v>
      </c>
      <c r="N56" s="2" t="str">
        <f t="shared" si="11"/>
        <v>Footwear</v>
      </c>
    </row>
    <row r="57" spans="1:14">
      <c r="A57" s="1">
        <v>45833</v>
      </c>
      <c r="B57" t="s">
        <v>19</v>
      </c>
      <c r="C57" t="s">
        <v>23</v>
      </c>
      <c r="D57" t="s">
        <v>21</v>
      </c>
      <c r="E57">
        <v>48</v>
      </c>
      <c r="F57">
        <v>31056</v>
      </c>
      <c r="G57">
        <v>34328</v>
      </c>
      <c r="H57" s="2">
        <f t="shared" si="6"/>
        <v>-3272</v>
      </c>
      <c r="I57" s="2" t="str">
        <f t="shared" si="7"/>
        <v>Loss</v>
      </c>
      <c r="J57" s="2" t="str">
        <f t="shared" si="8"/>
        <v>Normal</v>
      </c>
      <c r="K57" s="2" t="str">
        <f t="shared" si="9"/>
        <v>Jun</v>
      </c>
      <c r="L57" s="2">
        <f t="shared" si="10"/>
        <v>2025</v>
      </c>
      <c r="M57" s="2" t="str" cm="1">
        <f t="array" ref="M57">INDEX(D:D,MATCH(MAX(F:F),F:F,0))</f>
        <v>Shoes</v>
      </c>
      <c r="N57" s="2" t="str">
        <f t="shared" si="11"/>
        <v>Footwear</v>
      </c>
    </row>
    <row r="58" spans="1:14">
      <c r="A58" s="1">
        <v>45659</v>
      </c>
      <c r="B58" t="s">
        <v>27</v>
      </c>
      <c r="C58" t="s">
        <v>20</v>
      </c>
      <c r="D58" t="s">
        <v>21</v>
      </c>
      <c r="E58">
        <v>148</v>
      </c>
      <c r="F58">
        <v>121508</v>
      </c>
      <c r="G58">
        <v>125196</v>
      </c>
      <c r="H58" s="2">
        <f t="shared" si="6"/>
        <v>-3688</v>
      </c>
      <c r="I58" s="2" t="str">
        <f t="shared" si="7"/>
        <v>Loss</v>
      </c>
      <c r="J58" s="2" t="str">
        <f t="shared" si="8"/>
        <v>Normal</v>
      </c>
      <c r="K58" s="2" t="str">
        <f t="shared" si="9"/>
        <v>Jan</v>
      </c>
      <c r="L58" s="2">
        <f t="shared" si="10"/>
        <v>2025</v>
      </c>
      <c r="M58" s="2" t="str" cm="1">
        <f t="array" ref="M58">INDEX(D:D,MATCH(MAX(F:F),F:F,0))</f>
        <v>Shoes</v>
      </c>
      <c r="N58" s="2" t="str">
        <f t="shared" si="11"/>
        <v>Footwear</v>
      </c>
    </row>
    <row r="59" spans="1:14">
      <c r="A59" s="1">
        <v>45790</v>
      </c>
      <c r="B59" t="s">
        <v>27</v>
      </c>
      <c r="C59" t="s">
        <v>23</v>
      </c>
      <c r="D59" t="s">
        <v>21</v>
      </c>
      <c r="E59">
        <v>75</v>
      </c>
      <c r="F59">
        <v>34500</v>
      </c>
      <c r="G59">
        <v>28629</v>
      </c>
      <c r="H59" s="2">
        <f t="shared" si="6"/>
        <v>5871</v>
      </c>
      <c r="I59" s="2" t="str">
        <f t="shared" si="7"/>
        <v>Medium</v>
      </c>
      <c r="J59" s="2" t="str">
        <f t="shared" si="8"/>
        <v>Normal</v>
      </c>
      <c r="K59" s="2" t="str">
        <f t="shared" si="9"/>
        <v>May</v>
      </c>
      <c r="L59" s="2">
        <f t="shared" si="10"/>
        <v>2025</v>
      </c>
      <c r="M59" s="2" t="str" cm="1">
        <f t="array" ref="M59">INDEX(D:D,MATCH(MAX(F:F),F:F,0))</f>
        <v>Shoes</v>
      </c>
      <c r="N59" s="2" t="str">
        <f t="shared" si="11"/>
        <v>Footwear</v>
      </c>
    </row>
    <row r="60" spans="1:14">
      <c r="A60" s="1">
        <v>45678</v>
      </c>
      <c r="B60" t="s">
        <v>32</v>
      </c>
      <c r="C60" t="s">
        <v>34</v>
      </c>
      <c r="D60" t="s">
        <v>21</v>
      </c>
      <c r="E60">
        <v>66</v>
      </c>
      <c r="F60">
        <v>64614</v>
      </c>
      <c r="G60">
        <v>67680</v>
      </c>
      <c r="H60" s="2">
        <f t="shared" si="6"/>
        <v>-3066</v>
      </c>
      <c r="I60" s="2" t="str">
        <f t="shared" si="7"/>
        <v>Loss</v>
      </c>
      <c r="J60" s="2" t="str">
        <f t="shared" si="8"/>
        <v>Normal</v>
      </c>
      <c r="K60" s="2" t="str">
        <f t="shared" si="9"/>
        <v>Jan</v>
      </c>
      <c r="L60" s="2">
        <f t="shared" si="10"/>
        <v>2025</v>
      </c>
      <c r="M60" s="2" t="str" cm="1">
        <f t="array" ref="M60">INDEX(D:D,MATCH(MAX(F:F),F:F,0))</f>
        <v>Shoes</v>
      </c>
      <c r="N60" s="2" t="str">
        <f t="shared" si="11"/>
        <v>Footwear</v>
      </c>
    </row>
    <row r="61" spans="1:14">
      <c r="A61" s="1">
        <v>45662</v>
      </c>
      <c r="B61" t="s">
        <v>33</v>
      </c>
      <c r="C61" t="s">
        <v>34</v>
      </c>
      <c r="D61" t="s">
        <v>31</v>
      </c>
      <c r="E61">
        <v>151</v>
      </c>
      <c r="F61">
        <v>84711</v>
      </c>
      <c r="G61">
        <v>66987</v>
      </c>
      <c r="H61" s="2">
        <f t="shared" si="6"/>
        <v>17724</v>
      </c>
      <c r="I61" s="2" t="str">
        <f t="shared" si="7"/>
        <v>High</v>
      </c>
      <c r="J61" s="2" t="str">
        <f t="shared" si="8"/>
        <v>High Performing</v>
      </c>
      <c r="K61" s="2" t="str">
        <f t="shared" si="9"/>
        <v>Jan</v>
      </c>
      <c r="L61" s="2">
        <f t="shared" si="10"/>
        <v>2025</v>
      </c>
      <c r="M61" s="2" t="str" cm="1">
        <f t="array" ref="M61">INDEX(D:D,MATCH(MAX(F:F),F:F,0))</f>
        <v>Shoes</v>
      </c>
      <c r="N61" s="2" t="str">
        <f t="shared" si="11"/>
        <v>Accessories</v>
      </c>
    </row>
    <row r="62" spans="1:14">
      <c r="A62" s="1">
        <v>45728</v>
      </c>
      <c r="B62" t="s">
        <v>27</v>
      </c>
      <c r="C62" t="s">
        <v>28</v>
      </c>
      <c r="D62" t="s">
        <v>31</v>
      </c>
      <c r="E62">
        <v>19</v>
      </c>
      <c r="F62">
        <v>12426</v>
      </c>
      <c r="G62">
        <v>15673</v>
      </c>
      <c r="H62" s="2">
        <f t="shared" si="6"/>
        <v>-3247</v>
      </c>
      <c r="I62" s="2" t="str">
        <f t="shared" si="7"/>
        <v>Loss</v>
      </c>
      <c r="J62" s="2" t="str">
        <f t="shared" si="8"/>
        <v>Normal</v>
      </c>
      <c r="K62" s="2" t="str">
        <f t="shared" si="9"/>
        <v>Mar</v>
      </c>
      <c r="L62" s="2">
        <f t="shared" si="10"/>
        <v>2025</v>
      </c>
      <c r="M62" s="2" t="str" cm="1">
        <f t="array" ref="M62">INDEX(D:D,MATCH(MAX(F:F),F:F,0))</f>
        <v>Shoes</v>
      </c>
      <c r="N62" s="2" t="str">
        <f t="shared" si="11"/>
        <v>Accessories</v>
      </c>
    </row>
    <row r="63" spans="1:14">
      <c r="A63" s="1">
        <v>45827</v>
      </c>
      <c r="B63" t="s">
        <v>33</v>
      </c>
      <c r="C63" t="s">
        <v>34</v>
      </c>
      <c r="D63" t="s">
        <v>29</v>
      </c>
      <c r="E63">
        <v>190</v>
      </c>
      <c r="F63">
        <v>169100</v>
      </c>
      <c r="G63">
        <v>162629</v>
      </c>
      <c r="H63" s="2">
        <f t="shared" si="6"/>
        <v>6471</v>
      </c>
      <c r="I63" s="2" t="str">
        <f t="shared" si="7"/>
        <v>Medium</v>
      </c>
      <c r="J63" s="2" t="str">
        <f t="shared" si="8"/>
        <v>Normal</v>
      </c>
      <c r="K63" s="2" t="str">
        <f t="shared" si="9"/>
        <v>Jun</v>
      </c>
      <c r="L63" s="2">
        <f t="shared" si="10"/>
        <v>2025</v>
      </c>
      <c r="M63" s="2" t="str" cm="1">
        <f t="array" ref="M63">INDEX(D:D,MATCH(MAX(F:F),F:F,0))</f>
        <v>Shoes</v>
      </c>
      <c r="N63" s="2" t="str">
        <f t="shared" si="11"/>
        <v>Accessories</v>
      </c>
    </row>
    <row r="64" spans="1:14">
      <c r="A64" s="1">
        <v>45676</v>
      </c>
      <c r="B64" t="s">
        <v>32</v>
      </c>
      <c r="C64" t="s">
        <v>28</v>
      </c>
      <c r="D64" t="s">
        <v>21</v>
      </c>
      <c r="E64">
        <v>61</v>
      </c>
      <c r="F64">
        <v>13908</v>
      </c>
      <c r="G64">
        <v>10625</v>
      </c>
      <c r="H64" s="2">
        <f t="shared" si="6"/>
        <v>3283</v>
      </c>
      <c r="I64" s="2" t="str">
        <f t="shared" si="7"/>
        <v>Low</v>
      </c>
      <c r="J64" s="2" t="str">
        <f t="shared" si="8"/>
        <v>Normal</v>
      </c>
      <c r="K64" s="2" t="str">
        <f t="shared" si="9"/>
        <v>Jan</v>
      </c>
      <c r="L64" s="2">
        <f t="shared" si="10"/>
        <v>2025</v>
      </c>
      <c r="M64" s="2" t="str" cm="1">
        <f t="array" ref="M64">INDEX(D:D,MATCH(MAX(F:F),F:F,0))</f>
        <v>Shoes</v>
      </c>
      <c r="N64" s="2" t="str">
        <f t="shared" si="11"/>
        <v>Footwear</v>
      </c>
    </row>
    <row r="65" spans="1:14">
      <c r="A65" s="1">
        <v>45749</v>
      </c>
      <c r="B65" t="s">
        <v>33</v>
      </c>
      <c r="C65" t="s">
        <v>30</v>
      </c>
      <c r="D65" t="s">
        <v>21</v>
      </c>
      <c r="E65">
        <v>31</v>
      </c>
      <c r="F65">
        <v>26133</v>
      </c>
      <c r="G65">
        <v>24817</v>
      </c>
      <c r="H65" s="2">
        <f t="shared" si="6"/>
        <v>1316</v>
      </c>
      <c r="I65" s="2" t="str">
        <f t="shared" si="7"/>
        <v>Low</v>
      </c>
      <c r="J65" s="2" t="str">
        <f t="shared" si="8"/>
        <v>Normal</v>
      </c>
      <c r="K65" s="2" t="str">
        <f t="shared" si="9"/>
        <v>Apr</v>
      </c>
      <c r="L65" s="2">
        <f t="shared" si="10"/>
        <v>2025</v>
      </c>
      <c r="M65" s="2" t="str" cm="1">
        <f t="array" ref="M65">INDEX(D:D,MATCH(MAX(F:F),F:F,0))</f>
        <v>Shoes</v>
      </c>
      <c r="N65" s="2" t="str">
        <f t="shared" si="11"/>
        <v>Footwear</v>
      </c>
    </row>
    <row r="66" spans="1:14">
      <c r="A66" s="1">
        <v>45712</v>
      </c>
      <c r="B66" t="s">
        <v>33</v>
      </c>
      <c r="C66" t="s">
        <v>23</v>
      </c>
      <c r="D66" t="s">
        <v>31</v>
      </c>
      <c r="E66">
        <v>142</v>
      </c>
      <c r="F66">
        <v>140012</v>
      </c>
      <c r="G66">
        <v>144309</v>
      </c>
      <c r="H66" s="2">
        <f t="shared" ref="H66:H97" si="12">(F66-G66)</f>
        <v>-4297</v>
      </c>
      <c r="I66" s="2" t="str">
        <f t="shared" ref="I66:I97" si="13">IF(H66&lt;0,"Loss",IF(H66&lt;5000,"Low",IF(H66&lt;15000,"Medium","High")))</f>
        <v>Loss</v>
      </c>
      <c r="J66" s="2" t="str">
        <f t="shared" ref="J66:J97" si="14">IF(AND(E66&gt;100,H66&gt;10000),"High Performing","Normal")</f>
        <v>Normal</v>
      </c>
      <c r="K66" s="2" t="str">
        <f t="shared" ref="K66:K97" si="15">TEXT(A66,"mmm")</f>
        <v>Feb</v>
      </c>
      <c r="L66" s="2">
        <f t="shared" ref="L66:L97" si="16">YEAR(A66)</f>
        <v>2025</v>
      </c>
      <c r="M66" s="2" t="str" cm="1">
        <f t="array" ref="M66">INDEX(D:D,MATCH(MAX(F:F),F:F,0))</f>
        <v>Shoes</v>
      </c>
      <c r="N66" s="2" t="str">
        <f t="shared" ref="N66:N97" si="17">IF(D66="Shoes","Footwear",IF(D66="Bags","Accessories",IF(D66="Wallets","Accessories",IF(D66="Belts","Accessories","Other"))))</f>
        <v>Accessories</v>
      </c>
    </row>
    <row r="67" spans="1:14">
      <c r="A67" s="1">
        <v>45796</v>
      </c>
      <c r="B67" t="s">
        <v>27</v>
      </c>
      <c r="C67" t="s">
        <v>23</v>
      </c>
      <c r="D67" t="s">
        <v>31</v>
      </c>
      <c r="E67">
        <v>75</v>
      </c>
      <c r="F67">
        <v>51000</v>
      </c>
      <c r="G67">
        <v>35796</v>
      </c>
      <c r="H67" s="2">
        <f t="shared" si="12"/>
        <v>15204</v>
      </c>
      <c r="I67" s="2" t="str">
        <f t="shared" si="13"/>
        <v>High</v>
      </c>
      <c r="J67" s="2" t="str">
        <f t="shared" si="14"/>
        <v>Normal</v>
      </c>
      <c r="K67" s="2" t="str">
        <f t="shared" si="15"/>
        <v>May</v>
      </c>
      <c r="L67" s="2">
        <f t="shared" si="16"/>
        <v>2025</v>
      </c>
      <c r="M67" s="2" t="str" cm="1">
        <f t="array" ref="M67">INDEX(D:D,MATCH(MAX(F:F),F:F,0))</f>
        <v>Shoes</v>
      </c>
      <c r="N67" s="2" t="str">
        <f t="shared" si="17"/>
        <v>Accessories</v>
      </c>
    </row>
    <row r="68" spans="1:14">
      <c r="A68" s="1">
        <v>45730</v>
      </c>
      <c r="B68" t="s">
        <v>33</v>
      </c>
      <c r="C68" t="s">
        <v>34</v>
      </c>
      <c r="D68" t="s">
        <v>24</v>
      </c>
      <c r="E68">
        <v>84</v>
      </c>
      <c r="F68">
        <v>64680</v>
      </c>
      <c r="G68">
        <v>46505</v>
      </c>
      <c r="H68" s="2">
        <f t="shared" si="12"/>
        <v>18175</v>
      </c>
      <c r="I68" s="2" t="str">
        <f t="shared" si="13"/>
        <v>High</v>
      </c>
      <c r="J68" s="2" t="str">
        <f t="shared" si="14"/>
        <v>Normal</v>
      </c>
      <c r="K68" s="2" t="str">
        <f t="shared" si="15"/>
        <v>Mar</v>
      </c>
      <c r="L68" s="2">
        <f t="shared" si="16"/>
        <v>2025</v>
      </c>
      <c r="M68" s="2" t="str" cm="1">
        <f t="array" ref="M68">INDEX(D:D,MATCH(MAX(F:F),F:F,0))</f>
        <v>Shoes</v>
      </c>
      <c r="N68" s="2" t="str">
        <f t="shared" si="17"/>
        <v>Accessories</v>
      </c>
    </row>
    <row r="69" spans="1:14">
      <c r="A69" s="1">
        <v>45677</v>
      </c>
      <c r="B69" t="s">
        <v>33</v>
      </c>
      <c r="C69" t="s">
        <v>28</v>
      </c>
      <c r="D69" t="s">
        <v>21</v>
      </c>
      <c r="E69">
        <v>11</v>
      </c>
      <c r="F69">
        <v>3861</v>
      </c>
      <c r="G69">
        <v>2211</v>
      </c>
      <c r="H69" s="2">
        <f t="shared" si="12"/>
        <v>1650</v>
      </c>
      <c r="I69" s="2" t="str">
        <f t="shared" si="13"/>
        <v>Low</v>
      </c>
      <c r="J69" s="2" t="str">
        <f t="shared" si="14"/>
        <v>Normal</v>
      </c>
      <c r="K69" s="2" t="str">
        <f t="shared" si="15"/>
        <v>Jan</v>
      </c>
      <c r="L69" s="2">
        <f t="shared" si="16"/>
        <v>2025</v>
      </c>
      <c r="M69" s="2" t="str" cm="1">
        <f t="array" ref="M69">INDEX(D:D,MATCH(MAX(F:F),F:F,0))</f>
        <v>Shoes</v>
      </c>
      <c r="N69" s="2" t="str">
        <f t="shared" si="17"/>
        <v>Footwear</v>
      </c>
    </row>
    <row r="70" spans="1:14">
      <c r="A70" s="1">
        <v>45808</v>
      </c>
      <c r="B70" t="s">
        <v>32</v>
      </c>
      <c r="C70" t="s">
        <v>23</v>
      </c>
      <c r="D70" t="s">
        <v>21</v>
      </c>
      <c r="E70">
        <v>29</v>
      </c>
      <c r="F70">
        <v>21344</v>
      </c>
      <c r="G70">
        <v>19497</v>
      </c>
      <c r="H70" s="2">
        <f t="shared" si="12"/>
        <v>1847</v>
      </c>
      <c r="I70" s="2" t="str">
        <f t="shared" si="13"/>
        <v>Low</v>
      </c>
      <c r="J70" s="2" t="str">
        <f t="shared" si="14"/>
        <v>Normal</v>
      </c>
      <c r="K70" s="2" t="str">
        <f t="shared" si="15"/>
        <v>May</v>
      </c>
      <c r="L70" s="2">
        <f t="shared" si="16"/>
        <v>2025</v>
      </c>
      <c r="M70" s="2" t="str" cm="1">
        <f t="array" ref="M70">INDEX(D:D,MATCH(MAX(F:F),F:F,0))</f>
        <v>Shoes</v>
      </c>
      <c r="N70" s="2" t="str">
        <f t="shared" si="17"/>
        <v>Footwear</v>
      </c>
    </row>
    <row r="71" spans="1:14">
      <c r="A71" s="1">
        <v>45692</v>
      </c>
      <c r="B71" t="s">
        <v>19</v>
      </c>
      <c r="C71" t="s">
        <v>34</v>
      </c>
      <c r="D71" t="s">
        <v>29</v>
      </c>
      <c r="E71">
        <v>96</v>
      </c>
      <c r="F71">
        <v>55200</v>
      </c>
      <c r="G71">
        <v>36517</v>
      </c>
      <c r="H71" s="2">
        <f t="shared" si="12"/>
        <v>18683</v>
      </c>
      <c r="I71" s="2" t="str">
        <f t="shared" si="13"/>
        <v>High</v>
      </c>
      <c r="J71" s="2" t="str">
        <f t="shared" si="14"/>
        <v>Normal</v>
      </c>
      <c r="K71" s="2" t="str">
        <f t="shared" si="15"/>
        <v>Feb</v>
      </c>
      <c r="L71" s="2">
        <f t="shared" si="16"/>
        <v>2025</v>
      </c>
      <c r="M71" s="2" t="str" cm="1">
        <f t="array" ref="M71">INDEX(D:D,MATCH(MAX(F:F),F:F,0))</f>
        <v>Shoes</v>
      </c>
      <c r="N71" s="2" t="str">
        <f t="shared" si="17"/>
        <v>Accessories</v>
      </c>
    </row>
    <row r="72" spans="1:14">
      <c r="A72" s="1">
        <v>45807</v>
      </c>
      <c r="B72" t="s">
        <v>27</v>
      </c>
      <c r="C72" t="s">
        <v>28</v>
      </c>
      <c r="D72" t="s">
        <v>21</v>
      </c>
      <c r="E72">
        <v>52</v>
      </c>
      <c r="F72">
        <v>47892</v>
      </c>
      <c r="G72">
        <v>52348</v>
      </c>
      <c r="H72" s="2">
        <f t="shared" si="12"/>
        <v>-4456</v>
      </c>
      <c r="I72" s="2" t="str">
        <f t="shared" si="13"/>
        <v>Loss</v>
      </c>
      <c r="J72" s="2" t="str">
        <f t="shared" si="14"/>
        <v>Normal</v>
      </c>
      <c r="K72" s="2" t="str">
        <f t="shared" si="15"/>
        <v>May</v>
      </c>
      <c r="L72" s="2">
        <f t="shared" si="16"/>
        <v>2025</v>
      </c>
      <c r="M72" s="2" t="str" cm="1">
        <f t="array" ref="M72">INDEX(D:D,MATCH(MAX(F:F),F:F,0))</f>
        <v>Shoes</v>
      </c>
      <c r="N72" s="2" t="str">
        <f t="shared" si="17"/>
        <v>Footwear</v>
      </c>
    </row>
    <row r="73" spans="1:14">
      <c r="A73" s="1">
        <v>45741</v>
      </c>
      <c r="B73" t="s">
        <v>19</v>
      </c>
      <c r="C73" t="s">
        <v>30</v>
      </c>
      <c r="D73" t="s">
        <v>29</v>
      </c>
      <c r="E73">
        <v>144</v>
      </c>
      <c r="F73">
        <v>124416</v>
      </c>
      <c r="G73">
        <v>126992</v>
      </c>
      <c r="H73" s="2">
        <f t="shared" si="12"/>
        <v>-2576</v>
      </c>
      <c r="I73" s="2" t="str">
        <f t="shared" si="13"/>
        <v>Loss</v>
      </c>
      <c r="J73" s="2" t="str">
        <f t="shared" si="14"/>
        <v>Normal</v>
      </c>
      <c r="K73" s="2" t="str">
        <f t="shared" si="15"/>
        <v>Mar</v>
      </c>
      <c r="L73" s="2">
        <f t="shared" si="16"/>
        <v>2025</v>
      </c>
      <c r="M73" s="2" t="str" cm="1">
        <f t="array" ref="M73">INDEX(D:D,MATCH(MAX(F:F),F:F,0))</f>
        <v>Shoes</v>
      </c>
      <c r="N73" s="2" t="str">
        <f t="shared" si="17"/>
        <v>Accessories</v>
      </c>
    </row>
    <row r="74" spans="1:14">
      <c r="A74" s="1">
        <v>45778</v>
      </c>
      <c r="B74" t="s">
        <v>33</v>
      </c>
      <c r="C74" t="s">
        <v>30</v>
      </c>
      <c r="D74" t="s">
        <v>29</v>
      </c>
      <c r="E74">
        <v>40</v>
      </c>
      <c r="F74">
        <v>33160</v>
      </c>
      <c r="G74">
        <v>16024</v>
      </c>
      <c r="H74" s="2">
        <f t="shared" si="12"/>
        <v>17136</v>
      </c>
      <c r="I74" s="2" t="str">
        <f t="shared" si="13"/>
        <v>High</v>
      </c>
      <c r="J74" s="2" t="str">
        <f t="shared" si="14"/>
        <v>Normal</v>
      </c>
      <c r="K74" s="2" t="str">
        <f t="shared" si="15"/>
        <v>May</v>
      </c>
      <c r="L74" s="2">
        <f t="shared" si="16"/>
        <v>2025</v>
      </c>
      <c r="M74" s="2" t="str" cm="1">
        <f t="array" ref="M74">INDEX(D:D,MATCH(MAX(F:F),F:F,0))</f>
        <v>Shoes</v>
      </c>
      <c r="N74" s="2" t="str">
        <f t="shared" si="17"/>
        <v>Accessories</v>
      </c>
    </row>
    <row r="75" spans="1:14">
      <c r="A75" s="1">
        <v>45810</v>
      </c>
      <c r="B75" t="s">
        <v>27</v>
      </c>
      <c r="C75" t="s">
        <v>30</v>
      </c>
      <c r="D75" t="s">
        <v>31</v>
      </c>
      <c r="E75">
        <v>160</v>
      </c>
      <c r="F75">
        <v>149920</v>
      </c>
      <c r="G75">
        <v>152371</v>
      </c>
      <c r="H75" s="2">
        <f t="shared" si="12"/>
        <v>-2451</v>
      </c>
      <c r="I75" s="2" t="str">
        <f t="shared" si="13"/>
        <v>Loss</v>
      </c>
      <c r="J75" s="2" t="str">
        <f t="shared" si="14"/>
        <v>Normal</v>
      </c>
      <c r="K75" s="2" t="str">
        <f t="shared" si="15"/>
        <v>Jun</v>
      </c>
      <c r="L75" s="2">
        <f t="shared" si="16"/>
        <v>2025</v>
      </c>
      <c r="M75" s="2" t="str" cm="1">
        <f t="array" ref="M75">INDEX(D:D,MATCH(MAX(F:F),F:F,0))</f>
        <v>Shoes</v>
      </c>
      <c r="N75" s="2" t="str">
        <f t="shared" si="17"/>
        <v>Accessories</v>
      </c>
    </row>
    <row r="76" spans="1:14">
      <c r="A76" s="1">
        <v>45799</v>
      </c>
      <c r="B76" t="s">
        <v>33</v>
      </c>
      <c r="C76" t="s">
        <v>28</v>
      </c>
      <c r="D76" t="s">
        <v>24</v>
      </c>
      <c r="E76">
        <v>103</v>
      </c>
      <c r="F76">
        <v>54075</v>
      </c>
      <c r="G76">
        <v>47707</v>
      </c>
      <c r="H76" s="2">
        <f t="shared" si="12"/>
        <v>6368</v>
      </c>
      <c r="I76" s="2" t="str">
        <f t="shared" si="13"/>
        <v>Medium</v>
      </c>
      <c r="J76" s="2" t="str">
        <f t="shared" si="14"/>
        <v>Normal</v>
      </c>
      <c r="K76" s="2" t="str">
        <f t="shared" si="15"/>
        <v>May</v>
      </c>
      <c r="L76" s="2">
        <f t="shared" si="16"/>
        <v>2025</v>
      </c>
      <c r="M76" s="2" t="str" cm="1">
        <f t="array" ref="M76">INDEX(D:D,MATCH(MAX(F:F),F:F,0))</f>
        <v>Shoes</v>
      </c>
      <c r="N76" s="2" t="str">
        <f t="shared" si="17"/>
        <v>Accessories</v>
      </c>
    </row>
    <row r="77" spans="1:14">
      <c r="A77" s="1">
        <v>45671</v>
      </c>
      <c r="B77" t="s">
        <v>19</v>
      </c>
      <c r="C77" t="s">
        <v>30</v>
      </c>
      <c r="D77" t="s">
        <v>24</v>
      </c>
      <c r="E77">
        <v>153</v>
      </c>
      <c r="F77">
        <v>116739</v>
      </c>
      <c r="G77">
        <v>118495</v>
      </c>
      <c r="H77" s="2">
        <f t="shared" si="12"/>
        <v>-1756</v>
      </c>
      <c r="I77" s="2" t="str">
        <f t="shared" si="13"/>
        <v>Loss</v>
      </c>
      <c r="J77" s="2" t="str">
        <f t="shared" si="14"/>
        <v>Normal</v>
      </c>
      <c r="K77" s="2" t="str">
        <f t="shared" si="15"/>
        <v>Jan</v>
      </c>
      <c r="L77" s="2">
        <f t="shared" si="16"/>
        <v>2025</v>
      </c>
      <c r="M77" s="2" t="str" cm="1">
        <f t="array" ref="M77">INDEX(D:D,MATCH(MAX(F:F),F:F,0))</f>
        <v>Shoes</v>
      </c>
      <c r="N77" s="2" t="str">
        <f t="shared" si="17"/>
        <v>Accessories</v>
      </c>
    </row>
    <row r="78" spans="1:14">
      <c r="A78" s="1">
        <v>45821</v>
      </c>
      <c r="B78" t="s">
        <v>27</v>
      </c>
      <c r="C78" t="s">
        <v>34</v>
      </c>
      <c r="D78" t="s">
        <v>21</v>
      </c>
      <c r="E78">
        <v>12</v>
      </c>
      <c r="F78">
        <v>10596</v>
      </c>
      <c r="G78">
        <v>12777</v>
      </c>
      <c r="H78" s="2">
        <f t="shared" si="12"/>
        <v>-2181</v>
      </c>
      <c r="I78" s="2" t="str">
        <f t="shared" si="13"/>
        <v>Loss</v>
      </c>
      <c r="J78" s="2" t="str">
        <f t="shared" si="14"/>
        <v>Normal</v>
      </c>
      <c r="K78" s="2" t="str">
        <f t="shared" si="15"/>
        <v>Jun</v>
      </c>
      <c r="L78" s="2">
        <f t="shared" si="16"/>
        <v>2025</v>
      </c>
      <c r="M78" s="2" t="str" cm="1">
        <f t="array" ref="M78">INDEX(D:D,MATCH(MAX(F:F),F:F,0))</f>
        <v>Shoes</v>
      </c>
      <c r="N78" s="2" t="str">
        <f t="shared" si="17"/>
        <v>Footwear</v>
      </c>
    </row>
    <row r="79" spans="1:14">
      <c r="A79" s="1">
        <v>45693</v>
      </c>
      <c r="B79" t="s">
        <v>32</v>
      </c>
      <c r="C79" t="s">
        <v>28</v>
      </c>
      <c r="D79" t="s">
        <v>29</v>
      </c>
      <c r="E79">
        <v>151</v>
      </c>
      <c r="F79">
        <v>40619</v>
      </c>
      <c r="G79">
        <v>31790</v>
      </c>
      <c r="H79" s="2">
        <f t="shared" si="12"/>
        <v>8829</v>
      </c>
      <c r="I79" s="2" t="str">
        <f t="shared" si="13"/>
        <v>Medium</v>
      </c>
      <c r="J79" s="2" t="str">
        <f t="shared" si="14"/>
        <v>Normal</v>
      </c>
      <c r="K79" s="2" t="str">
        <f t="shared" si="15"/>
        <v>Feb</v>
      </c>
      <c r="L79" s="2">
        <f t="shared" si="16"/>
        <v>2025</v>
      </c>
      <c r="M79" s="2" t="str" cm="1">
        <f t="array" ref="M79">INDEX(D:D,MATCH(MAX(F:F),F:F,0))</f>
        <v>Shoes</v>
      </c>
      <c r="N79" s="2" t="str">
        <f t="shared" si="17"/>
        <v>Accessories</v>
      </c>
    </row>
    <row r="80" spans="1:14">
      <c r="A80" s="1">
        <v>45833</v>
      </c>
      <c r="B80" t="s">
        <v>32</v>
      </c>
      <c r="C80" t="s">
        <v>28</v>
      </c>
      <c r="D80" t="s">
        <v>24</v>
      </c>
      <c r="E80">
        <v>108</v>
      </c>
      <c r="F80">
        <v>55404</v>
      </c>
      <c r="G80">
        <v>55311</v>
      </c>
      <c r="H80" s="2">
        <f t="shared" si="12"/>
        <v>93</v>
      </c>
      <c r="I80" s="2" t="str">
        <f t="shared" si="13"/>
        <v>Low</v>
      </c>
      <c r="J80" s="2" t="str">
        <f t="shared" si="14"/>
        <v>Normal</v>
      </c>
      <c r="K80" s="2" t="str">
        <f t="shared" si="15"/>
        <v>Jun</v>
      </c>
      <c r="L80" s="2">
        <f t="shared" si="16"/>
        <v>2025</v>
      </c>
      <c r="M80" s="2" t="str" cm="1">
        <f t="array" ref="M80">INDEX(D:D,MATCH(MAX(F:F),F:F,0))</f>
        <v>Shoes</v>
      </c>
      <c r="N80" s="2" t="str">
        <f t="shared" si="17"/>
        <v>Accessories</v>
      </c>
    </row>
    <row r="81" spans="1:14">
      <c r="A81" s="1">
        <v>45819</v>
      </c>
      <c r="B81" t="s">
        <v>27</v>
      </c>
      <c r="C81" t="s">
        <v>34</v>
      </c>
      <c r="D81" t="s">
        <v>21</v>
      </c>
      <c r="E81">
        <v>174</v>
      </c>
      <c r="F81">
        <v>97440</v>
      </c>
      <c r="G81">
        <v>86678</v>
      </c>
      <c r="H81" s="2">
        <f t="shared" si="12"/>
        <v>10762</v>
      </c>
      <c r="I81" s="2" t="str">
        <f t="shared" si="13"/>
        <v>Medium</v>
      </c>
      <c r="J81" s="2" t="str">
        <f t="shared" si="14"/>
        <v>High Performing</v>
      </c>
      <c r="K81" s="2" t="str">
        <f t="shared" si="15"/>
        <v>Jun</v>
      </c>
      <c r="L81" s="2">
        <f t="shared" si="16"/>
        <v>2025</v>
      </c>
      <c r="M81" s="2" t="str" cm="1">
        <f t="array" ref="M81">INDEX(D:D,MATCH(MAX(F:F),F:F,0))</f>
        <v>Shoes</v>
      </c>
      <c r="N81" s="2" t="str">
        <f t="shared" si="17"/>
        <v>Footwear</v>
      </c>
    </row>
    <row r="82" spans="1:14">
      <c r="A82" s="1">
        <v>45715</v>
      </c>
      <c r="B82" t="s">
        <v>27</v>
      </c>
      <c r="C82" t="s">
        <v>28</v>
      </c>
      <c r="D82" t="s">
        <v>21</v>
      </c>
      <c r="E82">
        <v>14</v>
      </c>
      <c r="F82">
        <v>9968</v>
      </c>
      <c r="G82">
        <v>9309</v>
      </c>
      <c r="H82" s="2">
        <f t="shared" si="12"/>
        <v>659</v>
      </c>
      <c r="I82" s="2" t="str">
        <f t="shared" si="13"/>
        <v>Low</v>
      </c>
      <c r="J82" s="2" t="str">
        <f t="shared" si="14"/>
        <v>Normal</v>
      </c>
      <c r="K82" s="2" t="str">
        <f t="shared" si="15"/>
        <v>Feb</v>
      </c>
      <c r="L82" s="2">
        <f t="shared" si="16"/>
        <v>2025</v>
      </c>
      <c r="M82" s="2" t="str" cm="1">
        <f t="array" ref="M82">INDEX(D:D,MATCH(MAX(F:F),F:F,0))</f>
        <v>Shoes</v>
      </c>
      <c r="N82" s="2" t="str">
        <f t="shared" si="17"/>
        <v>Footwear</v>
      </c>
    </row>
    <row r="83" spans="1:14">
      <c r="A83" s="1">
        <v>45783</v>
      </c>
      <c r="B83" t="s">
        <v>27</v>
      </c>
      <c r="C83" t="s">
        <v>23</v>
      </c>
      <c r="D83" t="s">
        <v>29</v>
      </c>
      <c r="E83">
        <v>158</v>
      </c>
      <c r="F83">
        <v>121028</v>
      </c>
      <c r="G83">
        <v>115154</v>
      </c>
      <c r="H83" s="2">
        <f t="shared" si="12"/>
        <v>5874</v>
      </c>
      <c r="I83" s="2" t="str">
        <f t="shared" si="13"/>
        <v>Medium</v>
      </c>
      <c r="J83" s="2" t="str">
        <f t="shared" si="14"/>
        <v>Normal</v>
      </c>
      <c r="K83" s="2" t="str">
        <f t="shared" si="15"/>
        <v>May</v>
      </c>
      <c r="L83" s="2">
        <f t="shared" si="16"/>
        <v>2025</v>
      </c>
      <c r="M83" s="2" t="str" cm="1">
        <f t="array" ref="M83">INDEX(D:D,MATCH(MAX(F:F),F:F,0))</f>
        <v>Shoes</v>
      </c>
      <c r="N83" s="2" t="str">
        <f t="shared" si="17"/>
        <v>Accessories</v>
      </c>
    </row>
    <row r="84" spans="1:14">
      <c r="A84" s="1">
        <v>45665</v>
      </c>
      <c r="B84" t="s">
        <v>27</v>
      </c>
      <c r="C84" t="s">
        <v>34</v>
      </c>
      <c r="D84" t="s">
        <v>24</v>
      </c>
      <c r="E84">
        <v>189</v>
      </c>
      <c r="F84">
        <v>151767</v>
      </c>
      <c r="G84">
        <v>145932</v>
      </c>
      <c r="H84" s="2">
        <f t="shared" si="12"/>
        <v>5835</v>
      </c>
      <c r="I84" s="2" t="str">
        <f t="shared" si="13"/>
        <v>Medium</v>
      </c>
      <c r="J84" s="2" t="str">
        <f t="shared" si="14"/>
        <v>Normal</v>
      </c>
      <c r="K84" s="2" t="str">
        <f t="shared" si="15"/>
        <v>Jan</v>
      </c>
      <c r="L84" s="2">
        <f t="shared" si="16"/>
        <v>2025</v>
      </c>
      <c r="M84" s="2" t="str" cm="1">
        <f t="array" ref="M84">INDEX(D:D,MATCH(MAX(F:F),F:F,0))</f>
        <v>Shoes</v>
      </c>
      <c r="N84" s="2" t="str">
        <f t="shared" si="17"/>
        <v>Accessories</v>
      </c>
    </row>
    <row r="85" spans="1:14">
      <c r="A85" s="1">
        <v>45769</v>
      </c>
      <c r="B85" t="s">
        <v>19</v>
      </c>
      <c r="C85" t="s">
        <v>34</v>
      </c>
      <c r="D85" t="s">
        <v>24</v>
      </c>
      <c r="E85">
        <v>144</v>
      </c>
      <c r="F85">
        <v>89136</v>
      </c>
      <c r="G85">
        <v>80247</v>
      </c>
      <c r="H85" s="2">
        <f t="shared" si="12"/>
        <v>8889</v>
      </c>
      <c r="I85" s="2" t="str">
        <f t="shared" si="13"/>
        <v>Medium</v>
      </c>
      <c r="J85" s="2" t="str">
        <f t="shared" si="14"/>
        <v>Normal</v>
      </c>
      <c r="K85" s="2" t="str">
        <f t="shared" si="15"/>
        <v>Apr</v>
      </c>
      <c r="L85" s="2">
        <f t="shared" si="16"/>
        <v>2025</v>
      </c>
      <c r="M85" s="2" t="str" cm="1">
        <f t="array" ref="M85">INDEX(D:D,MATCH(MAX(F:F),F:F,0))</f>
        <v>Shoes</v>
      </c>
      <c r="N85" s="2" t="str">
        <f t="shared" si="17"/>
        <v>Accessories</v>
      </c>
    </row>
    <row r="86" spans="1:14">
      <c r="A86" s="1">
        <v>45830</v>
      </c>
      <c r="B86" t="s">
        <v>32</v>
      </c>
      <c r="C86" t="s">
        <v>20</v>
      </c>
      <c r="D86" t="s">
        <v>31</v>
      </c>
      <c r="E86">
        <v>105</v>
      </c>
      <c r="F86">
        <v>34650</v>
      </c>
      <c r="G86">
        <v>15510</v>
      </c>
      <c r="H86" s="2">
        <f t="shared" si="12"/>
        <v>19140</v>
      </c>
      <c r="I86" s="2" t="str">
        <f t="shared" si="13"/>
        <v>High</v>
      </c>
      <c r="J86" s="2" t="str">
        <f t="shared" si="14"/>
        <v>High Performing</v>
      </c>
      <c r="K86" s="2" t="str">
        <f t="shared" si="15"/>
        <v>Jun</v>
      </c>
      <c r="L86" s="2">
        <f t="shared" si="16"/>
        <v>2025</v>
      </c>
      <c r="M86" s="2" t="str" cm="1">
        <f t="array" ref="M86">INDEX(D:D,MATCH(MAX(F:F),F:F,0))</f>
        <v>Shoes</v>
      </c>
      <c r="N86" s="2" t="str">
        <f t="shared" si="17"/>
        <v>Accessories</v>
      </c>
    </row>
    <row r="87" spans="1:14">
      <c r="A87" s="1">
        <v>45684</v>
      </c>
      <c r="B87" t="s">
        <v>33</v>
      </c>
      <c r="C87" t="s">
        <v>28</v>
      </c>
      <c r="D87" t="s">
        <v>21</v>
      </c>
      <c r="E87">
        <v>23</v>
      </c>
      <c r="F87">
        <v>13639</v>
      </c>
      <c r="G87">
        <v>2189</v>
      </c>
      <c r="H87" s="2">
        <f t="shared" si="12"/>
        <v>11450</v>
      </c>
      <c r="I87" s="2" t="str">
        <f t="shared" si="13"/>
        <v>Medium</v>
      </c>
      <c r="J87" s="2" t="str">
        <f t="shared" si="14"/>
        <v>Normal</v>
      </c>
      <c r="K87" s="2" t="str">
        <f t="shared" si="15"/>
        <v>Jan</v>
      </c>
      <c r="L87" s="2">
        <f t="shared" si="16"/>
        <v>2025</v>
      </c>
      <c r="M87" s="2" t="str" cm="1">
        <f t="array" ref="M87">INDEX(D:D,MATCH(MAX(F:F),F:F,0))</f>
        <v>Shoes</v>
      </c>
      <c r="N87" s="2" t="str">
        <f t="shared" si="17"/>
        <v>Footwear</v>
      </c>
    </row>
    <row r="88" spans="1:14">
      <c r="A88" s="1">
        <v>45742</v>
      </c>
      <c r="B88" t="s">
        <v>32</v>
      </c>
      <c r="C88" t="s">
        <v>28</v>
      </c>
      <c r="D88" t="s">
        <v>24</v>
      </c>
      <c r="E88">
        <v>143</v>
      </c>
      <c r="F88">
        <v>118690</v>
      </c>
      <c r="G88">
        <v>103345</v>
      </c>
      <c r="H88" s="2">
        <f t="shared" si="12"/>
        <v>15345</v>
      </c>
      <c r="I88" s="2" t="str">
        <f t="shared" si="13"/>
        <v>High</v>
      </c>
      <c r="J88" s="2" t="str">
        <f t="shared" si="14"/>
        <v>High Performing</v>
      </c>
      <c r="K88" s="2" t="str">
        <f t="shared" si="15"/>
        <v>Mar</v>
      </c>
      <c r="L88" s="2">
        <f t="shared" si="16"/>
        <v>2025</v>
      </c>
      <c r="M88" s="2" t="str" cm="1">
        <f t="array" ref="M88">INDEX(D:D,MATCH(MAX(F:F),F:F,0))</f>
        <v>Shoes</v>
      </c>
      <c r="N88" s="2" t="str">
        <f t="shared" si="17"/>
        <v>Accessories</v>
      </c>
    </row>
    <row r="89" spans="1:14">
      <c r="A89" s="1">
        <v>45817</v>
      </c>
      <c r="B89" t="s">
        <v>33</v>
      </c>
      <c r="C89" t="s">
        <v>23</v>
      </c>
      <c r="D89" t="s">
        <v>21</v>
      </c>
      <c r="E89">
        <v>180</v>
      </c>
      <c r="F89">
        <v>174600</v>
      </c>
      <c r="G89">
        <v>166853</v>
      </c>
      <c r="H89" s="2">
        <f t="shared" si="12"/>
        <v>7747</v>
      </c>
      <c r="I89" s="2" t="str">
        <f t="shared" si="13"/>
        <v>Medium</v>
      </c>
      <c r="J89" s="2" t="str">
        <f t="shared" si="14"/>
        <v>Normal</v>
      </c>
      <c r="K89" s="2" t="str">
        <f t="shared" si="15"/>
        <v>Jun</v>
      </c>
      <c r="L89" s="2">
        <f t="shared" si="16"/>
        <v>2025</v>
      </c>
      <c r="M89" s="2" t="str" cm="1">
        <f t="array" ref="M89">INDEX(D:D,MATCH(MAX(F:F),F:F,0))</f>
        <v>Shoes</v>
      </c>
      <c r="N89" s="2" t="str">
        <f t="shared" si="17"/>
        <v>Footwear</v>
      </c>
    </row>
    <row r="90" spans="1:14">
      <c r="A90" s="1">
        <v>45806</v>
      </c>
      <c r="B90" t="s">
        <v>27</v>
      </c>
      <c r="C90" t="s">
        <v>30</v>
      </c>
      <c r="D90" t="s">
        <v>29</v>
      </c>
      <c r="E90">
        <v>15</v>
      </c>
      <c r="F90">
        <v>7740</v>
      </c>
      <c r="G90">
        <v>9282</v>
      </c>
      <c r="H90" s="2">
        <f t="shared" si="12"/>
        <v>-1542</v>
      </c>
      <c r="I90" s="2" t="str">
        <f t="shared" si="13"/>
        <v>Loss</v>
      </c>
      <c r="J90" s="2" t="str">
        <f t="shared" si="14"/>
        <v>Normal</v>
      </c>
      <c r="K90" s="2" t="str">
        <f t="shared" si="15"/>
        <v>May</v>
      </c>
      <c r="L90" s="2">
        <f t="shared" si="16"/>
        <v>2025</v>
      </c>
      <c r="M90" s="2" t="str" cm="1">
        <f t="array" ref="M90">INDEX(D:D,MATCH(MAX(F:F),F:F,0))</f>
        <v>Shoes</v>
      </c>
      <c r="N90" s="2" t="str">
        <f t="shared" si="17"/>
        <v>Accessories</v>
      </c>
    </row>
    <row r="91" spans="1:14">
      <c r="A91" s="1">
        <v>45765</v>
      </c>
      <c r="B91" t="s">
        <v>32</v>
      </c>
      <c r="C91" t="s">
        <v>28</v>
      </c>
      <c r="D91" t="s">
        <v>21</v>
      </c>
      <c r="E91">
        <v>43</v>
      </c>
      <c r="F91">
        <v>22231</v>
      </c>
      <c r="G91">
        <v>18368</v>
      </c>
      <c r="H91" s="2">
        <f t="shared" si="12"/>
        <v>3863</v>
      </c>
      <c r="I91" s="2" t="str">
        <f t="shared" si="13"/>
        <v>Low</v>
      </c>
      <c r="J91" s="2" t="str">
        <f t="shared" si="14"/>
        <v>Normal</v>
      </c>
      <c r="K91" s="2" t="str">
        <f t="shared" si="15"/>
        <v>Apr</v>
      </c>
      <c r="L91" s="2">
        <f t="shared" si="16"/>
        <v>2025</v>
      </c>
      <c r="M91" s="2" t="str" cm="1">
        <f t="array" ref="M91">INDEX(D:D,MATCH(MAX(F:F),F:F,0))</f>
        <v>Shoes</v>
      </c>
      <c r="N91" s="2" t="str">
        <f t="shared" si="17"/>
        <v>Footwear</v>
      </c>
    </row>
    <row r="92" spans="1:14">
      <c r="A92" s="1">
        <v>45781</v>
      </c>
      <c r="B92" t="s">
        <v>27</v>
      </c>
      <c r="C92" t="s">
        <v>23</v>
      </c>
      <c r="D92" t="s">
        <v>24</v>
      </c>
      <c r="E92">
        <v>25</v>
      </c>
      <c r="F92">
        <v>12175</v>
      </c>
      <c r="G92">
        <v>8249</v>
      </c>
      <c r="H92" s="2">
        <f t="shared" si="12"/>
        <v>3926</v>
      </c>
      <c r="I92" s="2" t="str">
        <f t="shared" si="13"/>
        <v>Low</v>
      </c>
      <c r="J92" s="2" t="str">
        <f t="shared" si="14"/>
        <v>Normal</v>
      </c>
      <c r="K92" s="2" t="str">
        <f t="shared" si="15"/>
        <v>May</v>
      </c>
      <c r="L92" s="2">
        <f t="shared" si="16"/>
        <v>2025</v>
      </c>
      <c r="M92" s="2" t="str" cm="1">
        <f t="array" ref="M92">INDEX(D:D,MATCH(MAX(F:F),F:F,0))</f>
        <v>Shoes</v>
      </c>
      <c r="N92" s="2" t="str">
        <f t="shared" si="17"/>
        <v>Accessories</v>
      </c>
    </row>
    <row r="93" spans="1:14">
      <c r="A93" s="1">
        <v>45666</v>
      </c>
      <c r="B93" t="s">
        <v>32</v>
      </c>
      <c r="C93" t="s">
        <v>20</v>
      </c>
      <c r="D93" t="s">
        <v>29</v>
      </c>
      <c r="E93">
        <v>101</v>
      </c>
      <c r="F93">
        <v>82517</v>
      </c>
      <c r="G93">
        <v>82219</v>
      </c>
      <c r="H93" s="2">
        <f t="shared" si="12"/>
        <v>298</v>
      </c>
      <c r="I93" s="2" t="str">
        <f t="shared" si="13"/>
        <v>Low</v>
      </c>
      <c r="J93" s="2" t="str">
        <f t="shared" si="14"/>
        <v>Normal</v>
      </c>
      <c r="K93" s="2" t="str">
        <f t="shared" si="15"/>
        <v>Jan</v>
      </c>
      <c r="L93" s="2">
        <f t="shared" si="16"/>
        <v>2025</v>
      </c>
      <c r="M93" s="2" t="str" cm="1">
        <f t="array" ref="M93">INDEX(D:D,MATCH(MAX(F:F),F:F,0))</f>
        <v>Shoes</v>
      </c>
      <c r="N93" s="2" t="str">
        <f t="shared" si="17"/>
        <v>Accessories</v>
      </c>
    </row>
    <row r="94" spans="1:14">
      <c r="A94" s="1">
        <v>45747</v>
      </c>
      <c r="B94" t="s">
        <v>32</v>
      </c>
      <c r="C94" t="s">
        <v>28</v>
      </c>
      <c r="D94" t="s">
        <v>24</v>
      </c>
      <c r="E94">
        <v>39</v>
      </c>
      <c r="F94">
        <v>18876</v>
      </c>
      <c r="G94">
        <v>9278</v>
      </c>
      <c r="H94" s="2">
        <f t="shared" si="12"/>
        <v>9598</v>
      </c>
      <c r="I94" s="2" t="str">
        <f t="shared" si="13"/>
        <v>Medium</v>
      </c>
      <c r="J94" s="2" t="str">
        <f t="shared" si="14"/>
        <v>Normal</v>
      </c>
      <c r="K94" s="2" t="str">
        <f t="shared" si="15"/>
        <v>Mar</v>
      </c>
      <c r="L94" s="2">
        <f t="shared" si="16"/>
        <v>2025</v>
      </c>
      <c r="M94" s="2" t="str" cm="1">
        <f t="array" ref="M94">INDEX(D:D,MATCH(MAX(F:F),F:F,0))</f>
        <v>Shoes</v>
      </c>
      <c r="N94" s="2" t="str">
        <f t="shared" si="17"/>
        <v>Accessories</v>
      </c>
    </row>
    <row r="95" spans="1:14">
      <c r="A95" s="1">
        <v>45823</v>
      </c>
      <c r="B95" t="s">
        <v>19</v>
      </c>
      <c r="C95" t="s">
        <v>28</v>
      </c>
      <c r="D95" t="s">
        <v>21</v>
      </c>
      <c r="E95">
        <v>160</v>
      </c>
      <c r="F95">
        <v>52320</v>
      </c>
      <c r="G95">
        <v>55716</v>
      </c>
      <c r="H95" s="2">
        <f t="shared" si="12"/>
        <v>-3396</v>
      </c>
      <c r="I95" s="2" t="str">
        <f t="shared" si="13"/>
        <v>Loss</v>
      </c>
      <c r="J95" s="2" t="str">
        <f t="shared" si="14"/>
        <v>Normal</v>
      </c>
      <c r="K95" s="2" t="str">
        <f t="shared" si="15"/>
        <v>Jun</v>
      </c>
      <c r="L95" s="2">
        <f t="shared" si="16"/>
        <v>2025</v>
      </c>
      <c r="M95" s="2" t="str" cm="1">
        <f t="array" ref="M95">INDEX(D:D,MATCH(MAX(F:F),F:F,0))</f>
        <v>Shoes</v>
      </c>
      <c r="N95" s="2" t="str">
        <f t="shared" si="17"/>
        <v>Footwear</v>
      </c>
    </row>
    <row r="96" spans="1:14">
      <c r="A96" s="1">
        <v>45731</v>
      </c>
      <c r="B96" t="s">
        <v>19</v>
      </c>
      <c r="C96" t="s">
        <v>28</v>
      </c>
      <c r="D96" t="s">
        <v>31</v>
      </c>
      <c r="E96">
        <v>74</v>
      </c>
      <c r="F96">
        <v>37814</v>
      </c>
      <c r="G96">
        <v>20529</v>
      </c>
      <c r="H96" s="2">
        <f t="shared" si="12"/>
        <v>17285</v>
      </c>
      <c r="I96" s="2" t="str">
        <f t="shared" si="13"/>
        <v>High</v>
      </c>
      <c r="J96" s="2" t="str">
        <f t="shared" si="14"/>
        <v>Normal</v>
      </c>
      <c r="K96" s="2" t="str">
        <f t="shared" si="15"/>
        <v>Mar</v>
      </c>
      <c r="L96" s="2">
        <f t="shared" si="16"/>
        <v>2025</v>
      </c>
      <c r="M96" s="2" t="str" cm="1">
        <f t="array" ref="M96">INDEX(D:D,MATCH(MAX(F:F),F:F,0))</f>
        <v>Shoes</v>
      </c>
      <c r="N96" s="2" t="str">
        <f t="shared" si="17"/>
        <v>Accessories</v>
      </c>
    </row>
    <row r="97" spans="1:14">
      <c r="A97" s="1">
        <v>45701</v>
      </c>
      <c r="B97" t="s">
        <v>27</v>
      </c>
      <c r="C97" t="s">
        <v>20</v>
      </c>
      <c r="D97" t="s">
        <v>24</v>
      </c>
      <c r="E97">
        <v>96</v>
      </c>
      <c r="F97">
        <v>49152</v>
      </c>
      <c r="G97">
        <v>29710</v>
      </c>
      <c r="H97" s="2">
        <f t="shared" si="12"/>
        <v>19442</v>
      </c>
      <c r="I97" s="2" t="str">
        <f t="shared" si="13"/>
        <v>High</v>
      </c>
      <c r="J97" s="2" t="str">
        <f t="shared" si="14"/>
        <v>Normal</v>
      </c>
      <c r="K97" s="2" t="str">
        <f t="shared" si="15"/>
        <v>Feb</v>
      </c>
      <c r="L97" s="2">
        <f t="shared" si="16"/>
        <v>2025</v>
      </c>
      <c r="M97" s="2" t="str" cm="1">
        <f t="array" ref="M97">INDEX(D:D,MATCH(MAX(F:F),F:F,0))</f>
        <v>Shoes</v>
      </c>
      <c r="N97" s="2" t="str">
        <f t="shared" si="17"/>
        <v>Accessories</v>
      </c>
    </row>
    <row r="98" spans="1:14">
      <c r="A98" s="1">
        <v>45767</v>
      </c>
      <c r="B98" t="s">
        <v>33</v>
      </c>
      <c r="C98" t="s">
        <v>23</v>
      </c>
      <c r="D98" t="s">
        <v>31</v>
      </c>
      <c r="E98">
        <v>94</v>
      </c>
      <c r="F98">
        <v>47470</v>
      </c>
      <c r="G98">
        <v>48002</v>
      </c>
      <c r="H98" s="2">
        <f t="shared" ref="H98:H129" si="18">(F98-G98)</f>
        <v>-532</v>
      </c>
      <c r="I98" s="2" t="str">
        <f t="shared" ref="I98:I129" si="19">IF(H98&lt;0,"Loss",IF(H98&lt;5000,"Low",IF(H98&lt;15000,"Medium","High")))</f>
        <v>Loss</v>
      </c>
      <c r="J98" s="2" t="str">
        <f t="shared" ref="J98:J129" si="20">IF(AND(E98&gt;100,H98&gt;10000),"High Performing","Normal")</f>
        <v>Normal</v>
      </c>
      <c r="K98" s="2" t="str">
        <f t="shared" ref="K98:K129" si="21">TEXT(A98,"mmm")</f>
        <v>Apr</v>
      </c>
      <c r="L98" s="2">
        <f t="shared" ref="L98:L129" si="22">YEAR(A98)</f>
        <v>2025</v>
      </c>
      <c r="M98" s="2" t="str" cm="1">
        <f t="array" ref="M98">INDEX(D:D,MATCH(MAX(F:F),F:F,0))</f>
        <v>Shoes</v>
      </c>
      <c r="N98" s="2" t="str">
        <f t="shared" ref="N98:N129" si="23">IF(D98="Shoes","Footwear",IF(D98="Bags","Accessories",IF(D98="Wallets","Accessories",IF(D98="Belts","Accessories","Other"))))</f>
        <v>Accessories</v>
      </c>
    </row>
    <row r="99" spans="1:14">
      <c r="A99" s="1">
        <v>45798</v>
      </c>
      <c r="B99" t="s">
        <v>27</v>
      </c>
      <c r="C99" t="s">
        <v>30</v>
      </c>
      <c r="D99" t="s">
        <v>29</v>
      </c>
      <c r="E99">
        <v>68</v>
      </c>
      <c r="F99">
        <v>60792</v>
      </c>
      <c r="G99">
        <v>47231</v>
      </c>
      <c r="H99" s="2">
        <f t="shared" si="18"/>
        <v>13561</v>
      </c>
      <c r="I99" s="2" t="str">
        <f t="shared" si="19"/>
        <v>Medium</v>
      </c>
      <c r="J99" s="2" t="str">
        <f t="shared" si="20"/>
        <v>Normal</v>
      </c>
      <c r="K99" s="2" t="str">
        <f t="shared" si="21"/>
        <v>May</v>
      </c>
      <c r="L99" s="2">
        <f t="shared" si="22"/>
        <v>2025</v>
      </c>
      <c r="M99" s="2" t="str" cm="1">
        <f t="array" ref="M99">INDEX(D:D,MATCH(MAX(F:F),F:F,0))</f>
        <v>Shoes</v>
      </c>
      <c r="N99" s="2" t="str">
        <f t="shared" si="23"/>
        <v>Accessories</v>
      </c>
    </row>
    <row r="100" spans="1:14">
      <c r="A100" s="1">
        <v>45780</v>
      </c>
      <c r="B100" t="s">
        <v>33</v>
      </c>
      <c r="C100" t="s">
        <v>34</v>
      </c>
      <c r="D100" t="s">
        <v>24</v>
      </c>
      <c r="E100">
        <v>84</v>
      </c>
      <c r="F100">
        <v>19656</v>
      </c>
      <c r="G100">
        <v>-170</v>
      </c>
      <c r="H100" s="2">
        <f t="shared" si="18"/>
        <v>19826</v>
      </c>
      <c r="I100" s="2" t="str">
        <f t="shared" si="19"/>
        <v>High</v>
      </c>
      <c r="J100" s="2" t="str">
        <f t="shared" si="20"/>
        <v>Normal</v>
      </c>
      <c r="K100" s="2" t="str">
        <f t="shared" si="21"/>
        <v>May</v>
      </c>
      <c r="L100" s="2">
        <f t="shared" si="22"/>
        <v>2025</v>
      </c>
      <c r="M100" s="2" t="str" cm="1">
        <f t="array" ref="M100">INDEX(D:D,MATCH(MAX(F:F),F:F,0))</f>
        <v>Shoes</v>
      </c>
      <c r="N100" s="2" t="str">
        <f t="shared" si="23"/>
        <v>Accessories</v>
      </c>
    </row>
    <row r="101" spans="1:14">
      <c r="A101" s="1">
        <v>45673</v>
      </c>
      <c r="B101" t="s">
        <v>19</v>
      </c>
      <c r="C101" t="s">
        <v>28</v>
      </c>
      <c r="D101" t="s">
        <v>21</v>
      </c>
      <c r="E101">
        <v>70</v>
      </c>
      <c r="F101">
        <v>54530</v>
      </c>
      <c r="G101">
        <v>35262</v>
      </c>
      <c r="H101" s="2">
        <f t="shared" si="18"/>
        <v>19268</v>
      </c>
      <c r="I101" s="2" t="str">
        <f t="shared" si="19"/>
        <v>High</v>
      </c>
      <c r="J101" s="2" t="str">
        <f t="shared" si="20"/>
        <v>Normal</v>
      </c>
      <c r="K101" s="2" t="str">
        <f t="shared" si="21"/>
        <v>Jan</v>
      </c>
      <c r="L101" s="2">
        <f t="shared" si="22"/>
        <v>2025</v>
      </c>
      <c r="M101" s="2" t="str" cm="1">
        <f t="array" ref="M101">INDEX(D:D,MATCH(MAX(F:F),F:F,0))</f>
        <v>Shoes</v>
      </c>
      <c r="N101" s="2" t="str">
        <f t="shared" si="23"/>
        <v>Footwear</v>
      </c>
    </row>
    <row r="102" spans="1:14">
      <c r="A102" s="1">
        <v>45810</v>
      </c>
      <c r="B102" t="s">
        <v>33</v>
      </c>
      <c r="C102" t="s">
        <v>30</v>
      </c>
      <c r="D102" t="s">
        <v>31</v>
      </c>
      <c r="E102">
        <v>93</v>
      </c>
      <c r="F102">
        <v>82491</v>
      </c>
      <c r="G102">
        <v>87285</v>
      </c>
      <c r="H102" s="2">
        <f t="shared" si="18"/>
        <v>-4794</v>
      </c>
      <c r="I102" s="2" t="str">
        <f t="shared" si="19"/>
        <v>Loss</v>
      </c>
      <c r="J102" s="2" t="str">
        <f t="shared" si="20"/>
        <v>Normal</v>
      </c>
      <c r="K102" s="2" t="str">
        <f t="shared" si="21"/>
        <v>Jun</v>
      </c>
      <c r="L102" s="2">
        <f t="shared" si="22"/>
        <v>2025</v>
      </c>
      <c r="M102" s="2" t="str" cm="1">
        <f t="array" ref="M102">INDEX(D:D,MATCH(MAX(F:F),F:F,0))</f>
        <v>Shoes</v>
      </c>
      <c r="N102" s="2" t="str">
        <f t="shared" si="23"/>
        <v>Accessories</v>
      </c>
    </row>
    <row r="103" spans="1:14">
      <c r="A103" s="1">
        <v>45721</v>
      </c>
      <c r="B103" t="s">
        <v>32</v>
      </c>
      <c r="C103" t="s">
        <v>23</v>
      </c>
      <c r="D103" t="s">
        <v>24</v>
      </c>
      <c r="E103">
        <v>110</v>
      </c>
      <c r="F103">
        <v>56650</v>
      </c>
      <c r="G103">
        <v>39137</v>
      </c>
      <c r="H103" s="2">
        <f t="shared" si="18"/>
        <v>17513</v>
      </c>
      <c r="I103" s="2" t="str">
        <f t="shared" si="19"/>
        <v>High</v>
      </c>
      <c r="J103" s="2" t="str">
        <f t="shared" si="20"/>
        <v>High Performing</v>
      </c>
      <c r="K103" s="2" t="str">
        <f t="shared" si="21"/>
        <v>Mar</v>
      </c>
      <c r="L103" s="2">
        <f t="shared" si="22"/>
        <v>2025</v>
      </c>
      <c r="M103" s="2" t="str" cm="1">
        <f t="array" ref="M103">INDEX(D:D,MATCH(MAX(F:F),F:F,0))</f>
        <v>Shoes</v>
      </c>
      <c r="N103" s="2" t="str">
        <f t="shared" si="23"/>
        <v>Accessories</v>
      </c>
    </row>
    <row r="104" spans="1:14">
      <c r="A104" s="1">
        <v>45746</v>
      </c>
      <c r="B104" t="s">
        <v>33</v>
      </c>
      <c r="C104" t="s">
        <v>30</v>
      </c>
      <c r="D104" t="s">
        <v>21</v>
      </c>
      <c r="E104">
        <v>54</v>
      </c>
      <c r="F104">
        <v>11394</v>
      </c>
      <c r="G104">
        <v>14984</v>
      </c>
      <c r="H104" s="2">
        <f t="shared" si="18"/>
        <v>-3590</v>
      </c>
      <c r="I104" s="2" t="str">
        <f t="shared" si="19"/>
        <v>Loss</v>
      </c>
      <c r="J104" s="2" t="str">
        <f t="shared" si="20"/>
        <v>Normal</v>
      </c>
      <c r="K104" s="2" t="str">
        <f t="shared" si="21"/>
        <v>Mar</v>
      </c>
      <c r="L104" s="2">
        <f t="shared" si="22"/>
        <v>2025</v>
      </c>
      <c r="M104" s="2" t="str" cm="1">
        <f t="array" ref="M104">INDEX(D:D,MATCH(MAX(F:F),F:F,0))</f>
        <v>Shoes</v>
      </c>
      <c r="N104" s="2" t="str">
        <f t="shared" si="23"/>
        <v>Footwear</v>
      </c>
    </row>
    <row r="105" spans="1:14">
      <c r="A105" s="1">
        <v>45766</v>
      </c>
      <c r="B105" t="s">
        <v>32</v>
      </c>
      <c r="C105" t="s">
        <v>23</v>
      </c>
      <c r="D105" t="s">
        <v>29</v>
      </c>
      <c r="E105">
        <v>108</v>
      </c>
      <c r="F105">
        <v>40500</v>
      </c>
      <c r="G105">
        <v>36305</v>
      </c>
      <c r="H105" s="2">
        <f t="shared" si="18"/>
        <v>4195</v>
      </c>
      <c r="I105" s="2" t="str">
        <f t="shared" si="19"/>
        <v>Low</v>
      </c>
      <c r="J105" s="2" t="str">
        <f t="shared" si="20"/>
        <v>Normal</v>
      </c>
      <c r="K105" s="2" t="str">
        <f t="shared" si="21"/>
        <v>Apr</v>
      </c>
      <c r="L105" s="2">
        <f t="shared" si="22"/>
        <v>2025</v>
      </c>
      <c r="M105" s="2" t="str" cm="1">
        <f t="array" ref="M105">INDEX(D:D,MATCH(MAX(F:F),F:F,0))</f>
        <v>Shoes</v>
      </c>
      <c r="N105" s="2" t="str">
        <f t="shared" si="23"/>
        <v>Accessories</v>
      </c>
    </row>
    <row r="106" spans="1:14">
      <c r="A106" s="1">
        <v>45818</v>
      </c>
      <c r="B106" t="s">
        <v>19</v>
      </c>
      <c r="C106" t="s">
        <v>28</v>
      </c>
      <c r="D106" t="s">
        <v>21</v>
      </c>
      <c r="E106">
        <v>199</v>
      </c>
      <c r="F106">
        <v>65869</v>
      </c>
      <c r="G106">
        <v>50688</v>
      </c>
      <c r="H106" s="2">
        <f t="shared" si="18"/>
        <v>15181</v>
      </c>
      <c r="I106" s="2" t="str">
        <f t="shared" si="19"/>
        <v>High</v>
      </c>
      <c r="J106" s="2" t="str">
        <f t="shared" si="20"/>
        <v>High Performing</v>
      </c>
      <c r="K106" s="2" t="str">
        <f t="shared" si="21"/>
        <v>Jun</v>
      </c>
      <c r="L106" s="2">
        <f t="shared" si="22"/>
        <v>2025</v>
      </c>
      <c r="M106" s="2" t="str" cm="1">
        <f t="array" ref="M106">INDEX(D:D,MATCH(MAX(F:F),F:F,0))</f>
        <v>Shoes</v>
      </c>
      <c r="N106" s="2" t="str">
        <f t="shared" si="23"/>
        <v>Footwear</v>
      </c>
    </row>
    <row r="107" spans="1:14">
      <c r="A107" s="1">
        <v>45818</v>
      </c>
      <c r="B107" t="s">
        <v>32</v>
      </c>
      <c r="C107" t="s">
        <v>20</v>
      </c>
      <c r="D107" t="s">
        <v>21</v>
      </c>
      <c r="E107">
        <v>53</v>
      </c>
      <c r="F107">
        <v>16271</v>
      </c>
      <c r="G107">
        <v>13780</v>
      </c>
      <c r="H107" s="2">
        <f t="shared" si="18"/>
        <v>2491</v>
      </c>
      <c r="I107" s="2" t="str">
        <f t="shared" si="19"/>
        <v>Low</v>
      </c>
      <c r="J107" s="2" t="str">
        <f t="shared" si="20"/>
        <v>Normal</v>
      </c>
      <c r="K107" s="2" t="str">
        <f t="shared" si="21"/>
        <v>Jun</v>
      </c>
      <c r="L107" s="2">
        <f t="shared" si="22"/>
        <v>2025</v>
      </c>
      <c r="M107" s="2" t="str" cm="1">
        <f t="array" ref="M107">INDEX(D:D,MATCH(MAX(F:F),F:F,0))</f>
        <v>Shoes</v>
      </c>
      <c r="N107" s="2" t="str">
        <f t="shared" si="23"/>
        <v>Footwear</v>
      </c>
    </row>
    <row r="108" spans="1:14">
      <c r="A108" s="1">
        <v>45709</v>
      </c>
      <c r="B108" t="s">
        <v>32</v>
      </c>
      <c r="C108" t="s">
        <v>20</v>
      </c>
      <c r="D108" t="s">
        <v>29</v>
      </c>
      <c r="E108">
        <v>64</v>
      </c>
      <c r="F108">
        <v>34944</v>
      </c>
      <c r="G108">
        <v>20909</v>
      </c>
      <c r="H108" s="2">
        <f t="shared" si="18"/>
        <v>14035</v>
      </c>
      <c r="I108" s="2" t="str">
        <f t="shared" si="19"/>
        <v>Medium</v>
      </c>
      <c r="J108" s="2" t="str">
        <f t="shared" si="20"/>
        <v>Normal</v>
      </c>
      <c r="K108" s="2" t="str">
        <f t="shared" si="21"/>
        <v>Feb</v>
      </c>
      <c r="L108" s="2">
        <f t="shared" si="22"/>
        <v>2025</v>
      </c>
      <c r="M108" s="2" t="str" cm="1">
        <f t="array" ref="M108">INDEX(D:D,MATCH(MAX(F:F),F:F,0))</f>
        <v>Shoes</v>
      </c>
      <c r="N108" s="2" t="str">
        <f t="shared" si="23"/>
        <v>Accessories</v>
      </c>
    </row>
    <row r="109" spans="1:14">
      <c r="A109" s="1">
        <v>45768</v>
      </c>
      <c r="B109" t="s">
        <v>32</v>
      </c>
      <c r="C109" t="s">
        <v>30</v>
      </c>
      <c r="D109" t="s">
        <v>29</v>
      </c>
      <c r="E109">
        <v>96</v>
      </c>
      <c r="F109">
        <v>66144</v>
      </c>
      <c r="G109">
        <v>49618</v>
      </c>
      <c r="H109" s="2">
        <f t="shared" si="18"/>
        <v>16526</v>
      </c>
      <c r="I109" s="2" t="str">
        <f t="shared" si="19"/>
        <v>High</v>
      </c>
      <c r="J109" s="2" t="str">
        <f t="shared" si="20"/>
        <v>Normal</v>
      </c>
      <c r="K109" s="2" t="str">
        <f t="shared" si="21"/>
        <v>Apr</v>
      </c>
      <c r="L109" s="2">
        <f t="shared" si="22"/>
        <v>2025</v>
      </c>
      <c r="M109" s="2" t="str" cm="1">
        <f t="array" ref="M109">INDEX(D:D,MATCH(MAX(F:F),F:F,0))</f>
        <v>Shoes</v>
      </c>
      <c r="N109" s="2" t="str">
        <f t="shared" si="23"/>
        <v>Accessories</v>
      </c>
    </row>
    <row r="110" spans="1:14">
      <c r="A110" s="1">
        <v>45793</v>
      </c>
      <c r="B110" t="s">
        <v>19</v>
      </c>
      <c r="C110" t="s">
        <v>23</v>
      </c>
      <c r="D110" t="s">
        <v>21</v>
      </c>
      <c r="E110">
        <v>81</v>
      </c>
      <c r="F110">
        <v>40176</v>
      </c>
      <c r="G110">
        <v>39020</v>
      </c>
      <c r="H110" s="2">
        <f t="shared" si="18"/>
        <v>1156</v>
      </c>
      <c r="I110" s="2" t="str">
        <f t="shared" si="19"/>
        <v>Low</v>
      </c>
      <c r="J110" s="2" t="str">
        <f t="shared" si="20"/>
        <v>Normal</v>
      </c>
      <c r="K110" s="2" t="str">
        <f t="shared" si="21"/>
        <v>May</v>
      </c>
      <c r="L110" s="2">
        <f t="shared" si="22"/>
        <v>2025</v>
      </c>
      <c r="M110" s="2" t="str" cm="1">
        <f t="array" ref="M110">INDEX(D:D,MATCH(MAX(F:F),F:F,0))</f>
        <v>Shoes</v>
      </c>
      <c r="N110" s="2" t="str">
        <f t="shared" si="23"/>
        <v>Footwear</v>
      </c>
    </row>
    <row r="111" spans="1:14">
      <c r="A111" s="1">
        <v>45730</v>
      </c>
      <c r="B111" t="s">
        <v>27</v>
      </c>
      <c r="C111" t="s">
        <v>34</v>
      </c>
      <c r="D111" t="s">
        <v>21</v>
      </c>
      <c r="E111">
        <v>39</v>
      </c>
      <c r="F111">
        <v>21294</v>
      </c>
      <c r="G111">
        <v>14900</v>
      </c>
      <c r="H111" s="2">
        <f t="shared" si="18"/>
        <v>6394</v>
      </c>
      <c r="I111" s="2" t="str">
        <f t="shared" si="19"/>
        <v>Medium</v>
      </c>
      <c r="J111" s="2" t="str">
        <f t="shared" si="20"/>
        <v>Normal</v>
      </c>
      <c r="K111" s="2" t="str">
        <f t="shared" si="21"/>
        <v>Mar</v>
      </c>
      <c r="L111" s="2">
        <f t="shared" si="22"/>
        <v>2025</v>
      </c>
      <c r="M111" s="2" t="str" cm="1">
        <f t="array" ref="M111">INDEX(D:D,MATCH(MAX(F:F),F:F,0))</f>
        <v>Shoes</v>
      </c>
      <c r="N111" s="2" t="str">
        <f t="shared" si="23"/>
        <v>Footwear</v>
      </c>
    </row>
    <row r="112" spans="1:14">
      <c r="A112" s="1">
        <v>45683</v>
      </c>
      <c r="B112" t="s">
        <v>19</v>
      </c>
      <c r="C112" t="s">
        <v>30</v>
      </c>
      <c r="D112" t="s">
        <v>24</v>
      </c>
      <c r="E112">
        <v>103</v>
      </c>
      <c r="F112">
        <v>35020</v>
      </c>
      <c r="G112">
        <v>24805</v>
      </c>
      <c r="H112" s="2">
        <f t="shared" si="18"/>
        <v>10215</v>
      </c>
      <c r="I112" s="2" t="str">
        <f t="shared" si="19"/>
        <v>Medium</v>
      </c>
      <c r="J112" s="2" t="str">
        <f t="shared" si="20"/>
        <v>High Performing</v>
      </c>
      <c r="K112" s="2" t="str">
        <f t="shared" si="21"/>
        <v>Jan</v>
      </c>
      <c r="L112" s="2">
        <f t="shared" si="22"/>
        <v>2025</v>
      </c>
      <c r="M112" s="2" t="str" cm="1">
        <f t="array" ref="M112">INDEX(D:D,MATCH(MAX(F:F),F:F,0))</f>
        <v>Shoes</v>
      </c>
      <c r="N112" s="2" t="str">
        <f t="shared" si="23"/>
        <v>Accessories</v>
      </c>
    </row>
    <row r="113" spans="1:14">
      <c r="A113" s="1">
        <v>45798</v>
      </c>
      <c r="B113" t="s">
        <v>19</v>
      </c>
      <c r="C113" t="s">
        <v>30</v>
      </c>
      <c r="D113" t="s">
        <v>21</v>
      </c>
      <c r="E113">
        <v>62</v>
      </c>
      <c r="F113">
        <v>25110</v>
      </c>
      <c r="G113">
        <v>23550</v>
      </c>
      <c r="H113" s="2">
        <f t="shared" si="18"/>
        <v>1560</v>
      </c>
      <c r="I113" s="2" t="str">
        <f t="shared" si="19"/>
        <v>Low</v>
      </c>
      <c r="J113" s="2" t="str">
        <f t="shared" si="20"/>
        <v>Normal</v>
      </c>
      <c r="K113" s="2" t="str">
        <f t="shared" si="21"/>
        <v>May</v>
      </c>
      <c r="L113" s="2">
        <f t="shared" si="22"/>
        <v>2025</v>
      </c>
      <c r="M113" s="2" t="str" cm="1">
        <f t="array" ref="M113">INDEX(D:D,MATCH(MAX(F:F),F:F,0))</f>
        <v>Shoes</v>
      </c>
      <c r="N113" s="2" t="str">
        <f t="shared" si="23"/>
        <v>Footwear</v>
      </c>
    </row>
    <row r="114" spans="1:14">
      <c r="A114" s="1">
        <v>45811</v>
      </c>
      <c r="B114" t="s">
        <v>32</v>
      </c>
      <c r="C114" t="s">
        <v>20</v>
      </c>
      <c r="D114" t="s">
        <v>29</v>
      </c>
      <c r="E114">
        <v>39</v>
      </c>
      <c r="F114">
        <v>29445</v>
      </c>
      <c r="G114">
        <v>21419</v>
      </c>
      <c r="H114" s="2">
        <f t="shared" si="18"/>
        <v>8026</v>
      </c>
      <c r="I114" s="2" t="str">
        <f t="shared" si="19"/>
        <v>Medium</v>
      </c>
      <c r="J114" s="2" t="str">
        <f t="shared" si="20"/>
        <v>Normal</v>
      </c>
      <c r="K114" s="2" t="str">
        <f t="shared" si="21"/>
        <v>Jun</v>
      </c>
      <c r="L114" s="2">
        <f t="shared" si="22"/>
        <v>2025</v>
      </c>
      <c r="M114" s="2" t="str" cm="1">
        <f t="array" ref="M114">INDEX(D:D,MATCH(MAX(F:F),F:F,0))</f>
        <v>Shoes</v>
      </c>
      <c r="N114" s="2" t="str">
        <f t="shared" si="23"/>
        <v>Accessories</v>
      </c>
    </row>
    <row r="115" spans="1:14">
      <c r="A115" s="1">
        <v>45794</v>
      </c>
      <c r="B115" t="s">
        <v>32</v>
      </c>
      <c r="C115" t="s">
        <v>23</v>
      </c>
      <c r="D115" t="s">
        <v>31</v>
      </c>
      <c r="E115">
        <v>69</v>
      </c>
      <c r="F115">
        <v>35949</v>
      </c>
      <c r="G115">
        <v>38784</v>
      </c>
      <c r="H115" s="2">
        <f t="shared" si="18"/>
        <v>-2835</v>
      </c>
      <c r="I115" s="2" t="str">
        <f t="shared" si="19"/>
        <v>Loss</v>
      </c>
      <c r="J115" s="2" t="str">
        <f t="shared" si="20"/>
        <v>Normal</v>
      </c>
      <c r="K115" s="2" t="str">
        <f t="shared" si="21"/>
        <v>May</v>
      </c>
      <c r="L115" s="2">
        <f t="shared" si="22"/>
        <v>2025</v>
      </c>
      <c r="M115" s="2" t="str" cm="1">
        <f t="array" ref="M115">INDEX(D:D,MATCH(MAX(F:F),F:F,0))</f>
        <v>Shoes</v>
      </c>
      <c r="N115" s="2" t="str">
        <f t="shared" si="23"/>
        <v>Accessories</v>
      </c>
    </row>
    <row r="116" spans="1:14">
      <c r="A116" s="1">
        <v>45826</v>
      </c>
      <c r="B116" t="s">
        <v>19</v>
      </c>
      <c r="C116" t="s">
        <v>34</v>
      </c>
      <c r="D116" t="s">
        <v>29</v>
      </c>
      <c r="E116">
        <v>156</v>
      </c>
      <c r="F116">
        <v>119028</v>
      </c>
      <c r="G116">
        <v>114431</v>
      </c>
      <c r="H116" s="2">
        <f t="shared" si="18"/>
        <v>4597</v>
      </c>
      <c r="I116" s="2" t="str">
        <f t="shared" si="19"/>
        <v>Low</v>
      </c>
      <c r="J116" s="2" t="str">
        <f t="shared" si="20"/>
        <v>Normal</v>
      </c>
      <c r="K116" s="2" t="str">
        <f t="shared" si="21"/>
        <v>Jun</v>
      </c>
      <c r="L116" s="2">
        <f t="shared" si="22"/>
        <v>2025</v>
      </c>
      <c r="M116" s="2" t="str" cm="1">
        <f t="array" ref="M116">INDEX(D:D,MATCH(MAX(F:F),F:F,0))</f>
        <v>Shoes</v>
      </c>
      <c r="N116" s="2" t="str">
        <f t="shared" si="23"/>
        <v>Accessories</v>
      </c>
    </row>
    <row r="117" spans="1:14">
      <c r="A117" s="1">
        <v>45779</v>
      </c>
      <c r="B117" t="s">
        <v>33</v>
      </c>
      <c r="C117" t="s">
        <v>20</v>
      </c>
      <c r="D117" t="s">
        <v>29</v>
      </c>
      <c r="E117">
        <v>153</v>
      </c>
      <c r="F117">
        <v>42534</v>
      </c>
      <c r="G117">
        <v>42369</v>
      </c>
      <c r="H117" s="2">
        <f t="shared" si="18"/>
        <v>165</v>
      </c>
      <c r="I117" s="2" t="str">
        <f t="shared" si="19"/>
        <v>Low</v>
      </c>
      <c r="J117" s="2" t="str">
        <f t="shared" si="20"/>
        <v>Normal</v>
      </c>
      <c r="K117" s="2" t="str">
        <f t="shared" si="21"/>
        <v>May</v>
      </c>
      <c r="L117" s="2">
        <f t="shared" si="22"/>
        <v>2025</v>
      </c>
      <c r="M117" s="2" t="str" cm="1">
        <f t="array" ref="M117">INDEX(D:D,MATCH(MAX(F:F),F:F,0))</f>
        <v>Shoes</v>
      </c>
      <c r="N117" s="2" t="str">
        <f t="shared" si="23"/>
        <v>Accessories</v>
      </c>
    </row>
    <row r="118" spans="1:14">
      <c r="A118" s="1">
        <v>45659</v>
      </c>
      <c r="B118" t="s">
        <v>19</v>
      </c>
      <c r="C118" t="s">
        <v>23</v>
      </c>
      <c r="D118" t="s">
        <v>21</v>
      </c>
      <c r="E118">
        <v>17</v>
      </c>
      <c r="F118">
        <v>4811</v>
      </c>
      <c r="G118">
        <v>-11528</v>
      </c>
      <c r="H118" s="2">
        <f t="shared" si="18"/>
        <v>16339</v>
      </c>
      <c r="I118" s="2" t="str">
        <f t="shared" si="19"/>
        <v>High</v>
      </c>
      <c r="J118" s="2" t="str">
        <f t="shared" si="20"/>
        <v>Normal</v>
      </c>
      <c r="K118" s="2" t="str">
        <f t="shared" si="21"/>
        <v>Jan</v>
      </c>
      <c r="L118" s="2">
        <f t="shared" si="22"/>
        <v>2025</v>
      </c>
      <c r="M118" s="2" t="str" cm="1">
        <f t="array" ref="M118">INDEX(D:D,MATCH(MAX(F:F),F:F,0))</f>
        <v>Shoes</v>
      </c>
      <c r="N118" s="2" t="str">
        <f t="shared" si="23"/>
        <v>Footwear</v>
      </c>
    </row>
    <row r="119" spans="1:14">
      <c r="A119" s="1">
        <v>45725</v>
      </c>
      <c r="B119" t="s">
        <v>32</v>
      </c>
      <c r="C119" t="s">
        <v>23</v>
      </c>
      <c r="D119" t="s">
        <v>24</v>
      </c>
      <c r="E119">
        <v>187</v>
      </c>
      <c r="F119">
        <v>53482</v>
      </c>
      <c r="G119">
        <v>33500</v>
      </c>
      <c r="H119" s="2">
        <f t="shared" si="18"/>
        <v>19982</v>
      </c>
      <c r="I119" s="2" t="str">
        <f t="shared" si="19"/>
        <v>High</v>
      </c>
      <c r="J119" s="2" t="str">
        <f t="shared" si="20"/>
        <v>High Performing</v>
      </c>
      <c r="K119" s="2" t="str">
        <f t="shared" si="21"/>
        <v>Mar</v>
      </c>
      <c r="L119" s="2">
        <f t="shared" si="22"/>
        <v>2025</v>
      </c>
      <c r="M119" s="2" t="str" cm="1">
        <f t="array" ref="M119">INDEX(D:D,MATCH(MAX(F:F),F:F,0))</f>
        <v>Shoes</v>
      </c>
      <c r="N119" s="2" t="str">
        <f t="shared" si="23"/>
        <v>Accessories</v>
      </c>
    </row>
    <row r="120" spans="1:14">
      <c r="A120" s="1">
        <v>45687</v>
      </c>
      <c r="B120" t="s">
        <v>27</v>
      </c>
      <c r="C120" t="s">
        <v>30</v>
      </c>
      <c r="D120" t="s">
        <v>29</v>
      </c>
      <c r="E120">
        <v>41</v>
      </c>
      <c r="F120">
        <v>16769</v>
      </c>
      <c r="G120">
        <v>19263</v>
      </c>
      <c r="H120" s="2">
        <f t="shared" si="18"/>
        <v>-2494</v>
      </c>
      <c r="I120" s="2" t="str">
        <f t="shared" si="19"/>
        <v>Loss</v>
      </c>
      <c r="J120" s="2" t="str">
        <f t="shared" si="20"/>
        <v>Normal</v>
      </c>
      <c r="K120" s="2" t="str">
        <f t="shared" si="21"/>
        <v>Jan</v>
      </c>
      <c r="L120" s="2">
        <f t="shared" si="22"/>
        <v>2025</v>
      </c>
      <c r="M120" s="2" t="str" cm="1">
        <f t="array" ref="M120">INDEX(D:D,MATCH(MAX(F:F),F:F,0))</f>
        <v>Shoes</v>
      </c>
      <c r="N120" s="2" t="str">
        <f t="shared" si="23"/>
        <v>Accessories</v>
      </c>
    </row>
    <row r="121" spans="1:14">
      <c r="A121" s="1">
        <v>45782</v>
      </c>
      <c r="B121" t="s">
        <v>27</v>
      </c>
      <c r="C121" t="s">
        <v>28</v>
      </c>
      <c r="D121" t="s">
        <v>21</v>
      </c>
      <c r="E121">
        <v>184</v>
      </c>
      <c r="F121">
        <v>180320</v>
      </c>
      <c r="G121">
        <v>177814</v>
      </c>
      <c r="H121" s="2">
        <f t="shared" si="18"/>
        <v>2506</v>
      </c>
      <c r="I121" s="2" t="str">
        <f t="shared" si="19"/>
        <v>Low</v>
      </c>
      <c r="J121" s="2" t="str">
        <f t="shared" si="20"/>
        <v>Normal</v>
      </c>
      <c r="K121" s="2" t="str">
        <f t="shared" si="21"/>
        <v>May</v>
      </c>
      <c r="L121" s="2">
        <f t="shared" si="22"/>
        <v>2025</v>
      </c>
      <c r="M121" s="2" t="str" cm="1">
        <f t="array" ref="M121">INDEX(D:D,MATCH(MAX(F:F),F:F,0))</f>
        <v>Shoes</v>
      </c>
      <c r="N121" s="2" t="str">
        <f t="shared" si="23"/>
        <v>Footwear</v>
      </c>
    </row>
    <row r="122" spans="1:14">
      <c r="A122" s="1">
        <v>45825</v>
      </c>
      <c r="B122" t="s">
        <v>19</v>
      </c>
      <c r="C122" t="s">
        <v>30</v>
      </c>
      <c r="D122" t="s">
        <v>24</v>
      </c>
      <c r="E122">
        <v>191</v>
      </c>
      <c r="F122">
        <v>38773</v>
      </c>
      <c r="G122">
        <v>22431</v>
      </c>
      <c r="H122" s="2">
        <f t="shared" si="18"/>
        <v>16342</v>
      </c>
      <c r="I122" s="2" t="str">
        <f t="shared" si="19"/>
        <v>High</v>
      </c>
      <c r="J122" s="2" t="str">
        <f t="shared" si="20"/>
        <v>High Performing</v>
      </c>
      <c r="K122" s="2" t="str">
        <f t="shared" si="21"/>
        <v>Jun</v>
      </c>
      <c r="L122" s="2">
        <f t="shared" si="22"/>
        <v>2025</v>
      </c>
      <c r="M122" s="2" t="str" cm="1">
        <f t="array" ref="M122">INDEX(D:D,MATCH(MAX(F:F),F:F,0))</f>
        <v>Shoes</v>
      </c>
      <c r="N122" s="2" t="str">
        <f t="shared" si="23"/>
        <v>Accessories</v>
      </c>
    </row>
    <row r="123" spans="1:14">
      <c r="A123" s="1">
        <v>45832</v>
      </c>
      <c r="B123" t="s">
        <v>33</v>
      </c>
      <c r="C123" t="s">
        <v>23</v>
      </c>
      <c r="D123" t="s">
        <v>21</v>
      </c>
      <c r="E123">
        <v>133</v>
      </c>
      <c r="F123">
        <v>123025</v>
      </c>
      <c r="G123">
        <v>122856</v>
      </c>
      <c r="H123" s="2">
        <f t="shared" si="18"/>
        <v>169</v>
      </c>
      <c r="I123" s="2" t="str">
        <f t="shared" si="19"/>
        <v>Low</v>
      </c>
      <c r="J123" s="2" t="str">
        <f t="shared" si="20"/>
        <v>Normal</v>
      </c>
      <c r="K123" s="2" t="str">
        <f t="shared" si="21"/>
        <v>Jun</v>
      </c>
      <c r="L123" s="2">
        <f t="shared" si="22"/>
        <v>2025</v>
      </c>
      <c r="M123" s="2" t="str" cm="1">
        <f t="array" ref="M123">INDEX(D:D,MATCH(MAX(F:F),F:F,0))</f>
        <v>Shoes</v>
      </c>
      <c r="N123" s="2" t="str">
        <f t="shared" si="23"/>
        <v>Footwear</v>
      </c>
    </row>
    <row r="124" spans="1:14">
      <c r="A124" s="1">
        <v>45785</v>
      </c>
      <c r="B124" t="s">
        <v>33</v>
      </c>
      <c r="C124" t="s">
        <v>28</v>
      </c>
      <c r="D124" t="s">
        <v>21</v>
      </c>
      <c r="E124">
        <v>26</v>
      </c>
      <c r="F124">
        <v>25480</v>
      </c>
      <c r="G124">
        <v>28231</v>
      </c>
      <c r="H124" s="2">
        <f t="shared" si="18"/>
        <v>-2751</v>
      </c>
      <c r="I124" s="2" t="str">
        <f t="shared" si="19"/>
        <v>Loss</v>
      </c>
      <c r="J124" s="2" t="str">
        <f t="shared" si="20"/>
        <v>Normal</v>
      </c>
      <c r="K124" s="2" t="str">
        <f t="shared" si="21"/>
        <v>May</v>
      </c>
      <c r="L124" s="2">
        <f t="shared" si="22"/>
        <v>2025</v>
      </c>
      <c r="M124" s="2" t="str" cm="1">
        <f t="array" ref="M124">INDEX(D:D,MATCH(MAX(F:F),F:F,0))</f>
        <v>Shoes</v>
      </c>
      <c r="N124" s="2" t="str">
        <f t="shared" si="23"/>
        <v>Footwear</v>
      </c>
    </row>
    <row r="125" spans="1:14">
      <c r="A125" s="1">
        <v>45730</v>
      </c>
      <c r="B125" t="s">
        <v>33</v>
      </c>
      <c r="C125" t="s">
        <v>28</v>
      </c>
      <c r="D125" t="s">
        <v>31</v>
      </c>
      <c r="E125">
        <v>120</v>
      </c>
      <c r="F125">
        <v>62520</v>
      </c>
      <c r="G125">
        <v>58071</v>
      </c>
      <c r="H125" s="2">
        <f t="shared" si="18"/>
        <v>4449</v>
      </c>
      <c r="I125" s="2" t="str">
        <f t="shared" si="19"/>
        <v>Low</v>
      </c>
      <c r="J125" s="2" t="str">
        <f t="shared" si="20"/>
        <v>Normal</v>
      </c>
      <c r="K125" s="2" t="str">
        <f t="shared" si="21"/>
        <v>Mar</v>
      </c>
      <c r="L125" s="2">
        <f t="shared" si="22"/>
        <v>2025</v>
      </c>
      <c r="M125" s="2" t="str" cm="1">
        <f t="array" ref="M125">INDEX(D:D,MATCH(MAX(F:F),F:F,0))</f>
        <v>Shoes</v>
      </c>
      <c r="N125" s="2" t="str">
        <f t="shared" si="23"/>
        <v>Accessories</v>
      </c>
    </row>
    <row r="126" spans="1:14">
      <c r="A126" s="1">
        <v>45667</v>
      </c>
      <c r="B126" t="s">
        <v>32</v>
      </c>
      <c r="C126" t="s">
        <v>28</v>
      </c>
      <c r="D126" t="s">
        <v>24</v>
      </c>
      <c r="E126">
        <v>72</v>
      </c>
      <c r="F126">
        <v>50328</v>
      </c>
      <c r="G126">
        <v>35050</v>
      </c>
      <c r="H126" s="2">
        <f t="shared" si="18"/>
        <v>15278</v>
      </c>
      <c r="I126" s="2" t="str">
        <f t="shared" si="19"/>
        <v>High</v>
      </c>
      <c r="J126" s="2" t="str">
        <f t="shared" si="20"/>
        <v>Normal</v>
      </c>
      <c r="K126" s="2" t="str">
        <f t="shared" si="21"/>
        <v>Jan</v>
      </c>
      <c r="L126" s="2">
        <f t="shared" si="22"/>
        <v>2025</v>
      </c>
      <c r="M126" s="2" t="str" cm="1">
        <f t="array" ref="M126">INDEX(D:D,MATCH(MAX(F:F),F:F,0))</f>
        <v>Shoes</v>
      </c>
      <c r="N126" s="2" t="str">
        <f t="shared" si="23"/>
        <v>Accessories</v>
      </c>
    </row>
    <row r="127" spans="1:14">
      <c r="A127" s="1">
        <v>45817</v>
      </c>
      <c r="B127" t="s">
        <v>19</v>
      </c>
      <c r="C127" t="s">
        <v>28</v>
      </c>
      <c r="D127" t="s">
        <v>21</v>
      </c>
      <c r="E127">
        <v>62</v>
      </c>
      <c r="F127">
        <v>40796</v>
      </c>
      <c r="G127">
        <v>22523</v>
      </c>
      <c r="H127" s="2">
        <f t="shared" si="18"/>
        <v>18273</v>
      </c>
      <c r="I127" s="2" t="str">
        <f t="shared" si="19"/>
        <v>High</v>
      </c>
      <c r="J127" s="2" t="str">
        <f t="shared" si="20"/>
        <v>Normal</v>
      </c>
      <c r="K127" s="2" t="str">
        <f t="shared" si="21"/>
        <v>Jun</v>
      </c>
      <c r="L127" s="2">
        <f t="shared" si="22"/>
        <v>2025</v>
      </c>
      <c r="M127" s="2" t="str" cm="1">
        <f t="array" ref="M127">INDEX(D:D,MATCH(MAX(F:F),F:F,0))</f>
        <v>Shoes</v>
      </c>
      <c r="N127" s="2" t="str">
        <f t="shared" si="23"/>
        <v>Footwear</v>
      </c>
    </row>
    <row r="128" spans="1:14">
      <c r="A128" s="1">
        <v>45680</v>
      </c>
      <c r="B128" t="s">
        <v>32</v>
      </c>
      <c r="C128" t="s">
        <v>28</v>
      </c>
      <c r="D128" t="s">
        <v>31</v>
      </c>
      <c r="E128">
        <v>63</v>
      </c>
      <c r="F128">
        <v>47124</v>
      </c>
      <c r="G128">
        <v>28347</v>
      </c>
      <c r="H128" s="2">
        <f t="shared" si="18"/>
        <v>18777</v>
      </c>
      <c r="I128" s="2" t="str">
        <f t="shared" si="19"/>
        <v>High</v>
      </c>
      <c r="J128" s="2" t="str">
        <f t="shared" si="20"/>
        <v>Normal</v>
      </c>
      <c r="K128" s="2" t="str">
        <f t="shared" si="21"/>
        <v>Jan</v>
      </c>
      <c r="L128" s="2">
        <f t="shared" si="22"/>
        <v>2025</v>
      </c>
      <c r="M128" s="2" t="str" cm="1">
        <f t="array" ref="M128">INDEX(D:D,MATCH(MAX(F:F),F:F,0))</f>
        <v>Shoes</v>
      </c>
      <c r="N128" s="2" t="str">
        <f t="shared" si="23"/>
        <v>Accessories</v>
      </c>
    </row>
    <row r="129" spans="1:14">
      <c r="A129" s="1">
        <v>45660</v>
      </c>
      <c r="B129" t="s">
        <v>27</v>
      </c>
      <c r="C129" t="s">
        <v>28</v>
      </c>
      <c r="D129" t="s">
        <v>31</v>
      </c>
      <c r="E129">
        <v>128</v>
      </c>
      <c r="F129">
        <v>57344</v>
      </c>
      <c r="G129">
        <v>45612</v>
      </c>
      <c r="H129" s="2">
        <f t="shared" si="18"/>
        <v>11732</v>
      </c>
      <c r="I129" s="2" t="str">
        <f t="shared" si="19"/>
        <v>Medium</v>
      </c>
      <c r="J129" s="2" t="str">
        <f t="shared" si="20"/>
        <v>High Performing</v>
      </c>
      <c r="K129" s="2" t="str">
        <f t="shared" si="21"/>
        <v>Jan</v>
      </c>
      <c r="L129" s="2">
        <f t="shared" si="22"/>
        <v>2025</v>
      </c>
      <c r="M129" s="2" t="str" cm="1">
        <f t="array" ref="M129">INDEX(D:D,MATCH(MAX(F:F),F:F,0))</f>
        <v>Shoes</v>
      </c>
      <c r="N129" s="2" t="str">
        <f t="shared" si="23"/>
        <v>Accessories</v>
      </c>
    </row>
    <row r="130" spans="1:14">
      <c r="A130" s="1">
        <v>45691</v>
      </c>
      <c r="B130" t="s">
        <v>32</v>
      </c>
      <c r="C130" t="s">
        <v>28</v>
      </c>
      <c r="D130" t="s">
        <v>29</v>
      </c>
      <c r="E130">
        <v>51</v>
      </c>
      <c r="F130">
        <v>44880</v>
      </c>
      <c r="G130">
        <v>28141</v>
      </c>
      <c r="H130" s="2">
        <f t="shared" ref="H130:H161" si="24">(F130-G130)</f>
        <v>16739</v>
      </c>
      <c r="I130" s="2" t="str">
        <f t="shared" ref="I130:I161" si="25">IF(H130&lt;0,"Loss",IF(H130&lt;5000,"Low",IF(H130&lt;15000,"Medium","High")))</f>
        <v>High</v>
      </c>
      <c r="J130" s="2" t="str">
        <f t="shared" ref="J130:J161" si="26">IF(AND(E130&gt;100,H130&gt;10000),"High Performing","Normal")</f>
        <v>Normal</v>
      </c>
      <c r="K130" s="2" t="str">
        <f t="shared" ref="K130:K161" si="27">TEXT(A130,"mmm")</f>
        <v>Feb</v>
      </c>
      <c r="L130" s="2">
        <f t="shared" ref="L130:L161" si="28">YEAR(A130)</f>
        <v>2025</v>
      </c>
      <c r="M130" s="2" t="str" cm="1">
        <f t="array" ref="M130">INDEX(D:D,MATCH(MAX(F:F),F:F,0))</f>
        <v>Shoes</v>
      </c>
      <c r="N130" s="2" t="str">
        <f t="shared" ref="N130:N161" si="29">IF(D130="Shoes","Footwear",IF(D130="Bags","Accessories",IF(D130="Wallets","Accessories",IF(D130="Belts","Accessories","Other"))))</f>
        <v>Accessories</v>
      </c>
    </row>
    <row r="131" spans="1:14">
      <c r="A131" s="1">
        <v>45692</v>
      </c>
      <c r="B131" t="s">
        <v>27</v>
      </c>
      <c r="C131" t="s">
        <v>34</v>
      </c>
      <c r="D131" t="s">
        <v>24</v>
      </c>
      <c r="E131">
        <v>116</v>
      </c>
      <c r="F131">
        <v>110200</v>
      </c>
      <c r="G131">
        <v>99537</v>
      </c>
      <c r="H131" s="2">
        <f t="shared" si="24"/>
        <v>10663</v>
      </c>
      <c r="I131" s="2" t="str">
        <f t="shared" si="25"/>
        <v>Medium</v>
      </c>
      <c r="J131" s="2" t="str">
        <f t="shared" si="26"/>
        <v>High Performing</v>
      </c>
      <c r="K131" s="2" t="str">
        <f t="shared" si="27"/>
        <v>Feb</v>
      </c>
      <c r="L131" s="2">
        <f t="shared" si="28"/>
        <v>2025</v>
      </c>
      <c r="M131" s="2" t="str" cm="1">
        <f t="array" ref="M131">INDEX(D:D,MATCH(MAX(F:F),F:F,0))</f>
        <v>Shoes</v>
      </c>
      <c r="N131" s="2" t="str">
        <f t="shared" si="29"/>
        <v>Accessories</v>
      </c>
    </row>
    <row r="132" spans="1:14">
      <c r="A132" s="1">
        <v>45828</v>
      </c>
      <c r="B132" t="s">
        <v>33</v>
      </c>
      <c r="C132" t="s">
        <v>34</v>
      </c>
      <c r="D132" t="s">
        <v>31</v>
      </c>
      <c r="E132">
        <v>156</v>
      </c>
      <c r="F132">
        <v>116220</v>
      </c>
      <c r="G132">
        <v>119144</v>
      </c>
      <c r="H132" s="2">
        <f t="shared" si="24"/>
        <v>-2924</v>
      </c>
      <c r="I132" s="2" t="str">
        <f t="shared" si="25"/>
        <v>Loss</v>
      </c>
      <c r="J132" s="2" t="str">
        <f t="shared" si="26"/>
        <v>Normal</v>
      </c>
      <c r="K132" s="2" t="str">
        <f t="shared" si="27"/>
        <v>Jun</v>
      </c>
      <c r="L132" s="2">
        <f t="shared" si="28"/>
        <v>2025</v>
      </c>
      <c r="M132" s="2" t="str" cm="1">
        <f t="array" ref="M132">INDEX(D:D,MATCH(MAX(F:F),F:F,0))</f>
        <v>Shoes</v>
      </c>
      <c r="N132" s="2" t="str">
        <f t="shared" si="29"/>
        <v>Accessories</v>
      </c>
    </row>
    <row r="133" spans="1:14">
      <c r="A133" s="1">
        <v>45686</v>
      </c>
      <c r="B133" t="s">
        <v>19</v>
      </c>
      <c r="C133" t="s">
        <v>34</v>
      </c>
      <c r="D133" t="s">
        <v>24</v>
      </c>
      <c r="E133">
        <v>145</v>
      </c>
      <c r="F133">
        <v>48865</v>
      </c>
      <c r="G133">
        <v>29841</v>
      </c>
      <c r="H133" s="2">
        <f t="shared" si="24"/>
        <v>19024</v>
      </c>
      <c r="I133" s="2" t="str">
        <f t="shared" si="25"/>
        <v>High</v>
      </c>
      <c r="J133" s="2" t="str">
        <f t="shared" si="26"/>
        <v>High Performing</v>
      </c>
      <c r="K133" s="2" t="str">
        <f t="shared" si="27"/>
        <v>Jan</v>
      </c>
      <c r="L133" s="2">
        <f t="shared" si="28"/>
        <v>2025</v>
      </c>
      <c r="M133" s="2" t="str" cm="1">
        <f t="array" ref="M133">INDEX(D:D,MATCH(MAX(F:F),F:F,0))</f>
        <v>Shoes</v>
      </c>
      <c r="N133" s="2" t="str">
        <f t="shared" si="29"/>
        <v>Accessories</v>
      </c>
    </row>
    <row r="134" spans="1:14">
      <c r="A134" s="1">
        <v>45786</v>
      </c>
      <c r="B134" t="s">
        <v>19</v>
      </c>
      <c r="C134" t="s">
        <v>23</v>
      </c>
      <c r="D134" t="s">
        <v>31</v>
      </c>
      <c r="E134">
        <v>115</v>
      </c>
      <c r="F134">
        <v>106030</v>
      </c>
      <c r="G134">
        <v>103872</v>
      </c>
      <c r="H134" s="2">
        <f t="shared" si="24"/>
        <v>2158</v>
      </c>
      <c r="I134" s="2" t="str">
        <f t="shared" si="25"/>
        <v>Low</v>
      </c>
      <c r="J134" s="2" t="str">
        <f t="shared" si="26"/>
        <v>Normal</v>
      </c>
      <c r="K134" s="2" t="str">
        <f t="shared" si="27"/>
        <v>May</v>
      </c>
      <c r="L134" s="2">
        <f t="shared" si="28"/>
        <v>2025</v>
      </c>
      <c r="M134" s="2" t="str" cm="1">
        <f t="array" ref="M134">INDEX(D:D,MATCH(MAX(F:F),F:F,0))</f>
        <v>Shoes</v>
      </c>
      <c r="N134" s="2" t="str">
        <f t="shared" si="29"/>
        <v>Accessories</v>
      </c>
    </row>
    <row r="135" spans="1:14">
      <c r="A135" s="1">
        <v>45758</v>
      </c>
      <c r="B135" t="s">
        <v>33</v>
      </c>
      <c r="C135" t="s">
        <v>20</v>
      </c>
      <c r="D135" t="s">
        <v>21</v>
      </c>
      <c r="E135">
        <v>80</v>
      </c>
      <c r="F135">
        <v>43840</v>
      </c>
      <c r="G135">
        <v>27155</v>
      </c>
      <c r="H135" s="2">
        <f t="shared" si="24"/>
        <v>16685</v>
      </c>
      <c r="I135" s="2" t="str">
        <f t="shared" si="25"/>
        <v>High</v>
      </c>
      <c r="J135" s="2" t="str">
        <f t="shared" si="26"/>
        <v>Normal</v>
      </c>
      <c r="K135" s="2" t="str">
        <f t="shared" si="27"/>
        <v>Apr</v>
      </c>
      <c r="L135" s="2">
        <f t="shared" si="28"/>
        <v>2025</v>
      </c>
      <c r="M135" s="2" t="str" cm="1">
        <f t="array" ref="M135">INDEX(D:D,MATCH(MAX(F:F),F:F,0))</f>
        <v>Shoes</v>
      </c>
      <c r="N135" s="2" t="str">
        <f t="shared" si="29"/>
        <v>Footwear</v>
      </c>
    </row>
    <row r="136" spans="1:14">
      <c r="A136" s="1">
        <v>45722</v>
      </c>
      <c r="B136" t="s">
        <v>27</v>
      </c>
      <c r="C136" t="s">
        <v>34</v>
      </c>
      <c r="D136" t="s">
        <v>29</v>
      </c>
      <c r="E136">
        <v>76</v>
      </c>
      <c r="F136">
        <v>43168</v>
      </c>
      <c r="G136">
        <v>42030</v>
      </c>
      <c r="H136" s="2">
        <f t="shared" si="24"/>
        <v>1138</v>
      </c>
      <c r="I136" s="2" t="str">
        <f t="shared" si="25"/>
        <v>Low</v>
      </c>
      <c r="J136" s="2" t="str">
        <f t="shared" si="26"/>
        <v>Normal</v>
      </c>
      <c r="K136" s="2" t="str">
        <f t="shared" si="27"/>
        <v>Mar</v>
      </c>
      <c r="L136" s="2">
        <f t="shared" si="28"/>
        <v>2025</v>
      </c>
      <c r="M136" s="2" t="str" cm="1">
        <f t="array" ref="M136">INDEX(D:D,MATCH(MAX(F:F),F:F,0))</f>
        <v>Shoes</v>
      </c>
      <c r="N136" s="2" t="str">
        <f t="shared" si="29"/>
        <v>Accessories</v>
      </c>
    </row>
    <row r="137" spans="1:14">
      <c r="A137" s="1">
        <v>45769</v>
      </c>
      <c r="B137" t="s">
        <v>32</v>
      </c>
      <c r="C137" t="s">
        <v>23</v>
      </c>
      <c r="D137" t="s">
        <v>24</v>
      </c>
      <c r="E137">
        <v>153</v>
      </c>
      <c r="F137">
        <v>51102</v>
      </c>
      <c r="G137">
        <v>52962</v>
      </c>
      <c r="H137" s="2">
        <f t="shared" si="24"/>
        <v>-1860</v>
      </c>
      <c r="I137" s="2" t="str">
        <f t="shared" si="25"/>
        <v>Loss</v>
      </c>
      <c r="J137" s="2" t="str">
        <f t="shared" si="26"/>
        <v>Normal</v>
      </c>
      <c r="K137" s="2" t="str">
        <f t="shared" si="27"/>
        <v>Apr</v>
      </c>
      <c r="L137" s="2">
        <f t="shared" si="28"/>
        <v>2025</v>
      </c>
      <c r="M137" s="2" t="str" cm="1">
        <f t="array" ref="M137">INDEX(D:D,MATCH(MAX(F:F),F:F,0))</f>
        <v>Shoes</v>
      </c>
      <c r="N137" s="2" t="str">
        <f t="shared" si="29"/>
        <v>Accessories</v>
      </c>
    </row>
    <row r="138" spans="1:14">
      <c r="A138" s="1">
        <v>45723</v>
      </c>
      <c r="B138" t="s">
        <v>33</v>
      </c>
      <c r="C138" t="s">
        <v>23</v>
      </c>
      <c r="D138" t="s">
        <v>21</v>
      </c>
      <c r="E138">
        <v>49</v>
      </c>
      <c r="F138">
        <v>9947</v>
      </c>
      <c r="G138">
        <v>5509</v>
      </c>
      <c r="H138" s="2">
        <f t="shared" si="24"/>
        <v>4438</v>
      </c>
      <c r="I138" s="2" t="str">
        <f t="shared" si="25"/>
        <v>Low</v>
      </c>
      <c r="J138" s="2" t="str">
        <f t="shared" si="26"/>
        <v>Normal</v>
      </c>
      <c r="K138" s="2" t="str">
        <f t="shared" si="27"/>
        <v>Mar</v>
      </c>
      <c r="L138" s="2">
        <f t="shared" si="28"/>
        <v>2025</v>
      </c>
      <c r="M138" s="2" t="str" cm="1">
        <f t="array" ref="M138">INDEX(D:D,MATCH(MAX(F:F),F:F,0))</f>
        <v>Shoes</v>
      </c>
      <c r="N138" s="2" t="str">
        <f t="shared" si="29"/>
        <v>Footwear</v>
      </c>
    </row>
    <row r="139" spans="1:14">
      <c r="A139" s="1">
        <v>45823</v>
      </c>
      <c r="B139" t="s">
        <v>19</v>
      </c>
      <c r="C139" t="s">
        <v>34</v>
      </c>
      <c r="D139" t="s">
        <v>29</v>
      </c>
      <c r="E139">
        <v>129</v>
      </c>
      <c r="F139">
        <v>71466</v>
      </c>
      <c r="G139">
        <v>63968</v>
      </c>
      <c r="H139" s="2">
        <f t="shared" si="24"/>
        <v>7498</v>
      </c>
      <c r="I139" s="2" t="str">
        <f t="shared" si="25"/>
        <v>Medium</v>
      </c>
      <c r="J139" s="2" t="str">
        <f t="shared" si="26"/>
        <v>Normal</v>
      </c>
      <c r="K139" s="2" t="str">
        <f t="shared" si="27"/>
        <v>Jun</v>
      </c>
      <c r="L139" s="2">
        <f t="shared" si="28"/>
        <v>2025</v>
      </c>
      <c r="M139" s="2" t="str" cm="1">
        <f t="array" ref="M139">INDEX(D:D,MATCH(MAX(F:F),F:F,0))</f>
        <v>Shoes</v>
      </c>
      <c r="N139" s="2" t="str">
        <f t="shared" si="29"/>
        <v>Accessories</v>
      </c>
    </row>
    <row r="140" spans="1:14">
      <c r="A140" s="1">
        <v>45721</v>
      </c>
      <c r="B140" t="s">
        <v>33</v>
      </c>
      <c r="C140" t="s">
        <v>34</v>
      </c>
      <c r="D140" t="s">
        <v>21</v>
      </c>
      <c r="E140">
        <v>65</v>
      </c>
      <c r="F140">
        <v>58760</v>
      </c>
      <c r="G140">
        <v>51910</v>
      </c>
      <c r="H140" s="2">
        <f t="shared" si="24"/>
        <v>6850</v>
      </c>
      <c r="I140" s="2" t="str">
        <f t="shared" si="25"/>
        <v>Medium</v>
      </c>
      <c r="J140" s="2" t="str">
        <f t="shared" si="26"/>
        <v>Normal</v>
      </c>
      <c r="K140" s="2" t="str">
        <f t="shared" si="27"/>
        <v>Mar</v>
      </c>
      <c r="L140" s="2">
        <f t="shared" si="28"/>
        <v>2025</v>
      </c>
      <c r="M140" s="2" t="str" cm="1">
        <f t="array" ref="M140">INDEX(D:D,MATCH(MAX(F:F),F:F,0))</f>
        <v>Shoes</v>
      </c>
      <c r="N140" s="2" t="str">
        <f t="shared" si="29"/>
        <v>Footwear</v>
      </c>
    </row>
    <row r="141" spans="1:14">
      <c r="A141" s="1">
        <v>45700</v>
      </c>
      <c r="B141" t="s">
        <v>19</v>
      </c>
      <c r="C141" t="s">
        <v>20</v>
      </c>
      <c r="D141" t="s">
        <v>24</v>
      </c>
      <c r="E141">
        <v>186</v>
      </c>
      <c r="F141">
        <v>44826</v>
      </c>
      <c r="G141">
        <v>32086</v>
      </c>
      <c r="H141" s="2">
        <f t="shared" si="24"/>
        <v>12740</v>
      </c>
      <c r="I141" s="2" t="str">
        <f t="shared" si="25"/>
        <v>Medium</v>
      </c>
      <c r="J141" s="2" t="str">
        <f t="shared" si="26"/>
        <v>High Performing</v>
      </c>
      <c r="K141" s="2" t="str">
        <f t="shared" si="27"/>
        <v>Feb</v>
      </c>
      <c r="L141" s="2">
        <f t="shared" si="28"/>
        <v>2025</v>
      </c>
      <c r="M141" s="2" t="str" cm="1">
        <f t="array" ref="M141">INDEX(D:D,MATCH(MAX(F:F),F:F,0))</f>
        <v>Shoes</v>
      </c>
      <c r="N141" s="2" t="str">
        <f t="shared" si="29"/>
        <v>Accessories</v>
      </c>
    </row>
    <row r="142" spans="1:14">
      <c r="A142" s="1">
        <v>45775</v>
      </c>
      <c r="B142" t="s">
        <v>19</v>
      </c>
      <c r="C142" t="s">
        <v>23</v>
      </c>
      <c r="D142" t="s">
        <v>24</v>
      </c>
      <c r="E142">
        <v>113</v>
      </c>
      <c r="F142">
        <v>52997</v>
      </c>
      <c r="G142">
        <v>33996</v>
      </c>
      <c r="H142" s="2">
        <f t="shared" si="24"/>
        <v>19001</v>
      </c>
      <c r="I142" s="2" t="str">
        <f t="shared" si="25"/>
        <v>High</v>
      </c>
      <c r="J142" s="2" t="str">
        <f t="shared" si="26"/>
        <v>High Performing</v>
      </c>
      <c r="K142" s="2" t="str">
        <f t="shared" si="27"/>
        <v>Apr</v>
      </c>
      <c r="L142" s="2">
        <f t="shared" si="28"/>
        <v>2025</v>
      </c>
      <c r="M142" s="2" t="str" cm="1">
        <f t="array" ref="M142">INDEX(D:D,MATCH(MAX(F:F),F:F,0))</f>
        <v>Shoes</v>
      </c>
      <c r="N142" s="2" t="str">
        <f t="shared" si="29"/>
        <v>Accessories</v>
      </c>
    </row>
    <row r="143" spans="1:14">
      <c r="A143" s="1">
        <v>45791</v>
      </c>
      <c r="B143" t="s">
        <v>32</v>
      </c>
      <c r="C143" t="s">
        <v>23</v>
      </c>
      <c r="D143" t="s">
        <v>24</v>
      </c>
      <c r="E143">
        <v>65</v>
      </c>
      <c r="F143">
        <v>24180</v>
      </c>
      <c r="G143">
        <v>13214</v>
      </c>
      <c r="H143" s="2">
        <f t="shared" si="24"/>
        <v>10966</v>
      </c>
      <c r="I143" s="2" t="str">
        <f t="shared" si="25"/>
        <v>Medium</v>
      </c>
      <c r="J143" s="2" t="str">
        <f t="shared" si="26"/>
        <v>Normal</v>
      </c>
      <c r="K143" s="2" t="str">
        <f t="shared" si="27"/>
        <v>May</v>
      </c>
      <c r="L143" s="2">
        <f t="shared" si="28"/>
        <v>2025</v>
      </c>
      <c r="M143" s="2" t="str" cm="1">
        <f t="array" ref="M143">INDEX(D:D,MATCH(MAX(F:F),F:F,0))</f>
        <v>Shoes</v>
      </c>
      <c r="N143" s="2" t="str">
        <f t="shared" si="29"/>
        <v>Accessories</v>
      </c>
    </row>
    <row r="144" spans="1:14">
      <c r="A144" s="1">
        <v>45785</v>
      </c>
      <c r="B144" t="s">
        <v>27</v>
      </c>
      <c r="C144" t="s">
        <v>28</v>
      </c>
      <c r="D144" t="s">
        <v>24</v>
      </c>
      <c r="E144">
        <v>49</v>
      </c>
      <c r="F144">
        <v>16072</v>
      </c>
      <c r="G144">
        <v>16619</v>
      </c>
      <c r="H144" s="2">
        <f t="shared" si="24"/>
        <v>-547</v>
      </c>
      <c r="I144" s="2" t="str">
        <f t="shared" si="25"/>
        <v>Loss</v>
      </c>
      <c r="J144" s="2" t="str">
        <f t="shared" si="26"/>
        <v>Normal</v>
      </c>
      <c r="K144" s="2" t="str">
        <f t="shared" si="27"/>
        <v>May</v>
      </c>
      <c r="L144" s="2">
        <f t="shared" si="28"/>
        <v>2025</v>
      </c>
      <c r="M144" s="2" t="str" cm="1">
        <f t="array" ref="M144">INDEX(D:D,MATCH(MAX(F:F),F:F,0))</f>
        <v>Shoes</v>
      </c>
      <c r="N144" s="2" t="str">
        <f t="shared" si="29"/>
        <v>Accessories</v>
      </c>
    </row>
    <row r="145" spans="1:14">
      <c r="A145" s="1">
        <v>45777</v>
      </c>
      <c r="B145" t="s">
        <v>32</v>
      </c>
      <c r="C145" t="s">
        <v>28</v>
      </c>
      <c r="D145" t="s">
        <v>29</v>
      </c>
      <c r="E145">
        <v>60</v>
      </c>
      <c r="F145">
        <v>44160</v>
      </c>
      <c r="G145">
        <v>46492</v>
      </c>
      <c r="H145" s="2">
        <f t="shared" si="24"/>
        <v>-2332</v>
      </c>
      <c r="I145" s="2" t="str">
        <f t="shared" si="25"/>
        <v>Loss</v>
      </c>
      <c r="J145" s="2" t="str">
        <f t="shared" si="26"/>
        <v>Normal</v>
      </c>
      <c r="K145" s="2" t="str">
        <f t="shared" si="27"/>
        <v>Apr</v>
      </c>
      <c r="L145" s="2">
        <f t="shared" si="28"/>
        <v>2025</v>
      </c>
      <c r="M145" s="2" t="str" cm="1">
        <f t="array" ref="M145">INDEX(D:D,MATCH(MAX(F:F),F:F,0))</f>
        <v>Shoes</v>
      </c>
      <c r="N145" s="2" t="str">
        <f t="shared" si="29"/>
        <v>Accessories</v>
      </c>
    </row>
    <row r="146" spans="1:14">
      <c r="A146" s="1">
        <v>45697</v>
      </c>
      <c r="B146" t="s">
        <v>27</v>
      </c>
      <c r="C146" t="s">
        <v>30</v>
      </c>
      <c r="D146" t="s">
        <v>24</v>
      </c>
      <c r="E146">
        <v>64</v>
      </c>
      <c r="F146">
        <v>61952</v>
      </c>
      <c r="G146">
        <v>52137</v>
      </c>
      <c r="H146" s="2">
        <f t="shared" si="24"/>
        <v>9815</v>
      </c>
      <c r="I146" s="2" t="str">
        <f t="shared" si="25"/>
        <v>Medium</v>
      </c>
      <c r="J146" s="2" t="str">
        <f t="shared" si="26"/>
        <v>Normal</v>
      </c>
      <c r="K146" s="2" t="str">
        <f t="shared" si="27"/>
        <v>Feb</v>
      </c>
      <c r="L146" s="2">
        <f t="shared" si="28"/>
        <v>2025</v>
      </c>
      <c r="M146" s="2" t="str" cm="1">
        <f t="array" ref="M146">INDEX(D:D,MATCH(MAX(F:F),F:F,0))</f>
        <v>Shoes</v>
      </c>
      <c r="N146" s="2" t="str">
        <f t="shared" si="29"/>
        <v>Accessories</v>
      </c>
    </row>
    <row r="147" spans="1:14">
      <c r="A147" s="1">
        <v>45671</v>
      </c>
      <c r="B147" t="s">
        <v>27</v>
      </c>
      <c r="C147" t="s">
        <v>23</v>
      </c>
      <c r="D147" t="s">
        <v>29</v>
      </c>
      <c r="E147">
        <v>43</v>
      </c>
      <c r="F147">
        <v>30616</v>
      </c>
      <c r="G147">
        <v>28198</v>
      </c>
      <c r="H147" s="2">
        <f t="shared" si="24"/>
        <v>2418</v>
      </c>
      <c r="I147" s="2" t="str">
        <f t="shared" si="25"/>
        <v>Low</v>
      </c>
      <c r="J147" s="2" t="str">
        <f t="shared" si="26"/>
        <v>Normal</v>
      </c>
      <c r="K147" s="2" t="str">
        <f t="shared" si="27"/>
        <v>Jan</v>
      </c>
      <c r="L147" s="2">
        <f t="shared" si="28"/>
        <v>2025</v>
      </c>
      <c r="M147" s="2" t="str" cm="1">
        <f t="array" ref="M147">INDEX(D:D,MATCH(MAX(F:F),F:F,0))</f>
        <v>Shoes</v>
      </c>
      <c r="N147" s="2" t="str">
        <f t="shared" si="29"/>
        <v>Accessories</v>
      </c>
    </row>
    <row r="148" spans="1:14">
      <c r="A148" s="1">
        <v>45801</v>
      </c>
      <c r="B148" t="s">
        <v>19</v>
      </c>
      <c r="C148" t="s">
        <v>30</v>
      </c>
      <c r="D148" t="s">
        <v>21</v>
      </c>
      <c r="E148">
        <v>144</v>
      </c>
      <c r="F148">
        <v>72576</v>
      </c>
      <c r="G148">
        <v>75110</v>
      </c>
      <c r="H148" s="2">
        <f t="shared" si="24"/>
        <v>-2534</v>
      </c>
      <c r="I148" s="2" t="str">
        <f t="shared" si="25"/>
        <v>Loss</v>
      </c>
      <c r="J148" s="2" t="str">
        <f t="shared" si="26"/>
        <v>Normal</v>
      </c>
      <c r="K148" s="2" t="str">
        <f t="shared" si="27"/>
        <v>May</v>
      </c>
      <c r="L148" s="2">
        <f t="shared" si="28"/>
        <v>2025</v>
      </c>
      <c r="M148" s="2" t="str" cm="1">
        <f t="array" ref="M148">INDEX(D:D,MATCH(MAX(F:F),F:F,0))</f>
        <v>Shoes</v>
      </c>
      <c r="N148" s="2" t="str">
        <f t="shared" si="29"/>
        <v>Footwear</v>
      </c>
    </row>
    <row r="149" spans="1:14">
      <c r="A149" s="1">
        <v>45834</v>
      </c>
      <c r="B149" t="s">
        <v>32</v>
      </c>
      <c r="C149" t="s">
        <v>28</v>
      </c>
      <c r="D149" t="s">
        <v>21</v>
      </c>
      <c r="E149">
        <v>122</v>
      </c>
      <c r="F149">
        <v>42578</v>
      </c>
      <c r="G149">
        <v>47276</v>
      </c>
      <c r="H149" s="2">
        <f t="shared" si="24"/>
        <v>-4698</v>
      </c>
      <c r="I149" s="2" t="str">
        <f t="shared" si="25"/>
        <v>Loss</v>
      </c>
      <c r="J149" s="2" t="str">
        <f t="shared" si="26"/>
        <v>Normal</v>
      </c>
      <c r="K149" s="2" t="str">
        <f t="shared" si="27"/>
        <v>Jun</v>
      </c>
      <c r="L149" s="2">
        <f t="shared" si="28"/>
        <v>2025</v>
      </c>
      <c r="M149" s="2" t="str" cm="1">
        <f t="array" ref="M149">INDEX(D:D,MATCH(MAX(F:F),F:F,0))</f>
        <v>Shoes</v>
      </c>
      <c r="N149" s="2" t="str">
        <f t="shared" si="29"/>
        <v>Footwear</v>
      </c>
    </row>
    <row r="150" spans="1:14">
      <c r="A150" s="1">
        <v>45832</v>
      </c>
      <c r="B150" t="s">
        <v>32</v>
      </c>
      <c r="C150" t="s">
        <v>20</v>
      </c>
      <c r="D150" t="s">
        <v>29</v>
      </c>
      <c r="E150">
        <v>194</v>
      </c>
      <c r="F150">
        <v>143754</v>
      </c>
      <c r="G150">
        <v>141365</v>
      </c>
      <c r="H150" s="2">
        <f t="shared" si="24"/>
        <v>2389</v>
      </c>
      <c r="I150" s="2" t="str">
        <f t="shared" si="25"/>
        <v>Low</v>
      </c>
      <c r="J150" s="2" t="str">
        <f t="shared" si="26"/>
        <v>Normal</v>
      </c>
      <c r="K150" s="2" t="str">
        <f t="shared" si="27"/>
        <v>Jun</v>
      </c>
      <c r="L150" s="2">
        <f t="shared" si="28"/>
        <v>2025</v>
      </c>
      <c r="M150" s="2" t="str" cm="1">
        <f t="array" ref="M150">INDEX(D:D,MATCH(MAX(F:F),F:F,0))</f>
        <v>Shoes</v>
      </c>
      <c r="N150" s="2" t="str">
        <f t="shared" si="29"/>
        <v>Accessories</v>
      </c>
    </row>
    <row r="151" spans="1:14">
      <c r="A151" s="1">
        <v>45739</v>
      </c>
      <c r="B151" t="s">
        <v>33</v>
      </c>
      <c r="C151" t="s">
        <v>28</v>
      </c>
      <c r="D151" t="s">
        <v>29</v>
      </c>
      <c r="E151">
        <v>70</v>
      </c>
      <c r="F151">
        <v>64820</v>
      </c>
      <c r="G151">
        <v>69444</v>
      </c>
      <c r="H151" s="2">
        <f t="shared" si="24"/>
        <v>-4624</v>
      </c>
      <c r="I151" s="2" t="str">
        <f t="shared" si="25"/>
        <v>Loss</v>
      </c>
      <c r="J151" s="2" t="str">
        <f t="shared" si="26"/>
        <v>Normal</v>
      </c>
      <c r="K151" s="2" t="str">
        <f t="shared" si="27"/>
        <v>Mar</v>
      </c>
      <c r="L151" s="2">
        <f t="shared" si="28"/>
        <v>2025</v>
      </c>
      <c r="M151" s="2" t="str" cm="1">
        <f t="array" ref="M151">INDEX(D:D,MATCH(MAX(F:F),F:F,0))</f>
        <v>Shoes</v>
      </c>
      <c r="N151" s="2" t="str">
        <f t="shared" si="29"/>
        <v>Accessories</v>
      </c>
    </row>
    <row r="152" spans="1:14">
      <c r="A152" s="1">
        <v>45675</v>
      </c>
      <c r="B152" t="s">
        <v>27</v>
      </c>
      <c r="C152" t="s">
        <v>30</v>
      </c>
      <c r="D152" t="s">
        <v>24</v>
      </c>
      <c r="E152">
        <v>28</v>
      </c>
      <c r="F152">
        <v>8400</v>
      </c>
      <c r="G152">
        <v>8506</v>
      </c>
      <c r="H152" s="2">
        <f t="shared" si="24"/>
        <v>-106</v>
      </c>
      <c r="I152" s="2" t="str">
        <f t="shared" si="25"/>
        <v>Loss</v>
      </c>
      <c r="J152" s="2" t="str">
        <f t="shared" si="26"/>
        <v>Normal</v>
      </c>
      <c r="K152" s="2" t="str">
        <f t="shared" si="27"/>
        <v>Jan</v>
      </c>
      <c r="L152" s="2">
        <f t="shared" si="28"/>
        <v>2025</v>
      </c>
      <c r="M152" s="2" t="str" cm="1">
        <f t="array" ref="M152">INDEX(D:D,MATCH(MAX(F:F),F:F,0))</f>
        <v>Shoes</v>
      </c>
      <c r="N152" s="2" t="str">
        <f t="shared" si="29"/>
        <v>Accessories</v>
      </c>
    </row>
    <row r="153" spans="1:14">
      <c r="A153" s="1">
        <v>45715</v>
      </c>
      <c r="B153" t="s">
        <v>33</v>
      </c>
      <c r="C153" t="s">
        <v>30</v>
      </c>
      <c r="D153" t="s">
        <v>31</v>
      </c>
      <c r="E153">
        <v>126</v>
      </c>
      <c r="F153">
        <v>52542</v>
      </c>
      <c r="G153">
        <v>38169</v>
      </c>
      <c r="H153" s="2">
        <f t="shared" si="24"/>
        <v>14373</v>
      </c>
      <c r="I153" s="2" t="str">
        <f t="shared" si="25"/>
        <v>Medium</v>
      </c>
      <c r="J153" s="2" t="str">
        <f t="shared" si="26"/>
        <v>High Performing</v>
      </c>
      <c r="K153" s="2" t="str">
        <f t="shared" si="27"/>
        <v>Feb</v>
      </c>
      <c r="L153" s="2">
        <f t="shared" si="28"/>
        <v>2025</v>
      </c>
      <c r="M153" s="2" t="str" cm="1">
        <f t="array" ref="M153">INDEX(D:D,MATCH(MAX(F:F),F:F,0))</f>
        <v>Shoes</v>
      </c>
      <c r="N153" s="2" t="str">
        <f t="shared" si="29"/>
        <v>Accessories</v>
      </c>
    </row>
    <row r="154" spans="1:14">
      <c r="A154" s="1">
        <v>45750</v>
      </c>
      <c r="B154" t="s">
        <v>27</v>
      </c>
      <c r="C154" t="s">
        <v>20</v>
      </c>
      <c r="D154" t="s">
        <v>31</v>
      </c>
      <c r="E154">
        <v>50</v>
      </c>
      <c r="F154">
        <v>42750</v>
      </c>
      <c r="G154">
        <v>29192</v>
      </c>
      <c r="H154" s="2">
        <f t="shared" si="24"/>
        <v>13558</v>
      </c>
      <c r="I154" s="2" t="str">
        <f t="shared" si="25"/>
        <v>Medium</v>
      </c>
      <c r="J154" s="2" t="str">
        <f t="shared" si="26"/>
        <v>Normal</v>
      </c>
      <c r="K154" s="2" t="str">
        <f t="shared" si="27"/>
        <v>Apr</v>
      </c>
      <c r="L154" s="2">
        <f t="shared" si="28"/>
        <v>2025</v>
      </c>
      <c r="M154" s="2" t="str" cm="1">
        <f t="array" ref="M154">INDEX(D:D,MATCH(MAX(F:F),F:F,0))</f>
        <v>Shoes</v>
      </c>
      <c r="N154" s="2" t="str">
        <f t="shared" si="29"/>
        <v>Accessories</v>
      </c>
    </row>
    <row r="155" spans="1:14">
      <c r="A155" s="1">
        <v>45707</v>
      </c>
      <c r="B155" t="s">
        <v>27</v>
      </c>
      <c r="C155" t="s">
        <v>20</v>
      </c>
      <c r="D155" t="s">
        <v>24</v>
      </c>
      <c r="E155">
        <v>116</v>
      </c>
      <c r="F155">
        <v>112984</v>
      </c>
      <c r="G155">
        <v>97085</v>
      </c>
      <c r="H155" s="2">
        <f t="shared" si="24"/>
        <v>15899</v>
      </c>
      <c r="I155" s="2" t="str">
        <f t="shared" si="25"/>
        <v>High</v>
      </c>
      <c r="J155" s="2" t="str">
        <f t="shared" si="26"/>
        <v>High Performing</v>
      </c>
      <c r="K155" s="2" t="str">
        <f t="shared" si="27"/>
        <v>Feb</v>
      </c>
      <c r="L155" s="2">
        <f t="shared" si="28"/>
        <v>2025</v>
      </c>
      <c r="M155" s="2" t="str" cm="1">
        <f t="array" ref="M155">INDEX(D:D,MATCH(MAX(F:F),F:F,0))</f>
        <v>Shoes</v>
      </c>
      <c r="N155" s="2" t="str">
        <f t="shared" si="29"/>
        <v>Accessories</v>
      </c>
    </row>
    <row r="156" spans="1:14">
      <c r="A156" s="1">
        <v>45825</v>
      </c>
      <c r="B156" t="s">
        <v>32</v>
      </c>
      <c r="C156" t="s">
        <v>20</v>
      </c>
      <c r="D156" t="s">
        <v>24</v>
      </c>
      <c r="E156">
        <v>120</v>
      </c>
      <c r="F156">
        <v>93360</v>
      </c>
      <c r="G156">
        <v>90713</v>
      </c>
      <c r="H156" s="2">
        <f t="shared" si="24"/>
        <v>2647</v>
      </c>
      <c r="I156" s="2" t="str">
        <f t="shared" si="25"/>
        <v>Low</v>
      </c>
      <c r="J156" s="2" t="str">
        <f t="shared" si="26"/>
        <v>Normal</v>
      </c>
      <c r="K156" s="2" t="str">
        <f t="shared" si="27"/>
        <v>Jun</v>
      </c>
      <c r="L156" s="2">
        <f t="shared" si="28"/>
        <v>2025</v>
      </c>
      <c r="M156" s="2" t="str" cm="1">
        <f t="array" ref="M156">INDEX(D:D,MATCH(MAX(F:F),F:F,0))</f>
        <v>Shoes</v>
      </c>
      <c r="N156" s="2" t="str">
        <f t="shared" si="29"/>
        <v>Accessories</v>
      </c>
    </row>
    <row r="157" spans="1:14">
      <c r="A157" s="1">
        <v>45827</v>
      </c>
      <c r="B157" t="s">
        <v>32</v>
      </c>
      <c r="C157" t="s">
        <v>20</v>
      </c>
      <c r="D157" t="s">
        <v>29</v>
      </c>
      <c r="E157">
        <v>114</v>
      </c>
      <c r="F157">
        <v>62472</v>
      </c>
      <c r="G157">
        <v>57408</v>
      </c>
      <c r="H157" s="2">
        <f t="shared" si="24"/>
        <v>5064</v>
      </c>
      <c r="I157" s="2" t="str">
        <f t="shared" si="25"/>
        <v>Medium</v>
      </c>
      <c r="J157" s="2" t="str">
        <f t="shared" si="26"/>
        <v>Normal</v>
      </c>
      <c r="K157" s="2" t="str">
        <f t="shared" si="27"/>
        <v>Jun</v>
      </c>
      <c r="L157" s="2">
        <f t="shared" si="28"/>
        <v>2025</v>
      </c>
      <c r="M157" s="2" t="str" cm="1">
        <f t="array" ref="M157">INDEX(D:D,MATCH(MAX(F:F),F:F,0))</f>
        <v>Shoes</v>
      </c>
      <c r="N157" s="2" t="str">
        <f t="shared" si="29"/>
        <v>Accessories</v>
      </c>
    </row>
    <row r="158" spans="1:14">
      <c r="A158" s="1">
        <v>45772</v>
      </c>
      <c r="B158" t="s">
        <v>33</v>
      </c>
      <c r="C158" t="s">
        <v>23</v>
      </c>
      <c r="D158" t="s">
        <v>31</v>
      </c>
      <c r="E158">
        <v>105</v>
      </c>
      <c r="F158">
        <v>83790</v>
      </c>
      <c r="G158">
        <v>70586</v>
      </c>
      <c r="H158" s="2">
        <f t="shared" si="24"/>
        <v>13204</v>
      </c>
      <c r="I158" s="2" t="str">
        <f t="shared" si="25"/>
        <v>Medium</v>
      </c>
      <c r="J158" s="2" t="str">
        <f t="shared" si="26"/>
        <v>High Performing</v>
      </c>
      <c r="K158" s="2" t="str">
        <f t="shared" si="27"/>
        <v>Apr</v>
      </c>
      <c r="L158" s="2">
        <f t="shared" si="28"/>
        <v>2025</v>
      </c>
      <c r="M158" s="2" t="str" cm="1">
        <f t="array" ref="M158">INDEX(D:D,MATCH(MAX(F:F),F:F,0))</f>
        <v>Shoes</v>
      </c>
      <c r="N158" s="2" t="str">
        <f t="shared" si="29"/>
        <v>Accessories</v>
      </c>
    </row>
    <row r="159" spans="1:14">
      <c r="A159" s="1">
        <v>45731</v>
      </c>
      <c r="B159" t="s">
        <v>19</v>
      </c>
      <c r="C159" t="s">
        <v>30</v>
      </c>
      <c r="D159" t="s">
        <v>31</v>
      </c>
      <c r="E159">
        <v>114</v>
      </c>
      <c r="F159">
        <v>46854</v>
      </c>
      <c r="G159">
        <v>49071</v>
      </c>
      <c r="H159" s="2">
        <f t="shared" si="24"/>
        <v>-2217</v>
      </c>
      <c r="I159" s="2" t="str">
        <f t="shared" si="25"/>
        <v>Loss</v>
      </c>
      <c r="J159" s="2" t="str">
        <f t="shared" si="26"/>
        <v>Normal</v>
      </c>
      <c r="K159" s="2" t="str">
        <f t="shared" si="27"/>
        <v>Mar</v>
      </c>
      <c r="L159" s="2">
        <f t="shared" si="28"/>
        <v>2025</v>
      </c>
      <c r="M159" s="2" t="str" cm="1">
        <f t="array" ref="M159">INDEX(D:D,MATCH(MAX(F:F),F:F,0))</f>
        <v>Shoes</v>
      </c>
      <c r="N159" s="2" t="str">
        <f t="shared" si="29"/>
        <v>Accessories</v>
      </c>
    </row>
    <row r="160" spans="1:14">
      <c r="A160" s="1">
        <v>45788</v>
      </c>
      <c r="B160" t="s">
        <v>27</v>
      </c>
      <c r="C160" t="s">
        <v>30</v>
      </c>
      <c r="D160" t="s">
        <v>21</v>
      </c>
      <c r="E160">
        <v>91</v>
      </c>
      <c r="F160">
        <v>45773</v>
      </c>
      <c r="G160">
        <v>40032</v>
      </c>
      <c r="H160" s="2">
        <f t="shared" si="24"/>
        <v>5741</v>
      </c>
      <c r="I160" s="2" t="str">
        <f t="shared" si="25"/>
        <v>Medium</v>
      </c>
      <c r="J160" s="2" t="str">
        <f t="shared" si="26"/>
        <v>Normal</v>
      </c>
      <c r="K160" s="2" t="str">
        <f t="shared" si="27"/>
        <v>May</v>
      </c>
      <c r="L160" s="2">
        <f t="shared" si="28"/>
        <v>2025</v>
      </c>
      <c r="M160" s="2" t="str" cm="1">
        <f t="array" ref="M160">INDEX(D:D,MATCH(MAX(F:F),F:F,0))</f>
        <v>Shoes</v>
      </c>
      <c r="N160" s="2" t="str">
        <f t="shared" si="29"/>
        <v>Footwear</v>
      </c>
    </row>
    <row r="161" spans="1:14">
      <c r="A161" s="1">
        <v>45822</v>
      </c>
      <c r="B161" t="s">
        <v>33</v>
      </c>
      <c r="C161" t="s">
        <v>20</v>
      </c>
      <c r="D161" t="s">
        <v>24</v>
      </c>
      <c r="E161">
        <v>78</v>
      </c>
      <c r="F161">
        <v>70746</v>
      </c>
      <c r="G161">
        <v>52697</v>
      </c>
      <c r="H161" s="2">
        <f t="shared" si="24"/>
        <v>18049</v>
      </c>
      <c r="I161" s="2" t="str">
        <f t="shared" si="25"/>
        <v>High</v>
      </c>
      <c r="J161" s="2" t="str">
        <f t="shared" si="26"/>
        <v>Normal</v>
      </c>
      <c r="K161" s="2" t="str">
        <f t="shared" si="27"/>
        <v>Jun</v>
      </c>
      <c r="L161" s="2">
        <f t="shared" si="28"/>
        <v>2025</v>
      </c>
      <c r="M161" s="2" t="str" cm="1">
        <f t="array" ref="M161">INDEX(D:D,MATCH(MAX(F:F),F:F,0))</f>
        <v>Shoes</v>
      </c>
      <c r="N161" s="2" t="str">
        <f t="shared" si="29"/>
        <v>Accessories</v>
      </c>
    </row>
    <row r="162" spans="1:14">
      <c r="A162" s="1">
        <v>45829</v>
      </c>
      <c r="B162" t="s">
        <v>33</v>
      </c>
      <c r="C162" t="s">
        <v>30</v>
      </c>
      <c r="D162" t="s">
        <v>31</v>
      </c>
      <c r="E162">
        <v>139</v>
      </c>
      <c r="F162">
        <v>43229</v>
      </c>
      <c r="G162">
        <v>37963</v>
      </c>
      <c r="H162" s="2">
        <f t="shared" ref="H162:H193" si="30">(F162-G162)</f>
        <v>5266</v>
      </c>
      <c r="I162" s="2" t="str">
        <f t="shared" ref="I162:I193" si="31">IF(H162&lt;0,"Loss",IF(H162&lt;5000,"Low",IF(H162&lt;15000,"Medium","High")))</f>
        <v>Medium</v>
      </c>
      <c r="J162" s="2" t="str">
        <f t="shared" ref="J162:J193" si="32">IF(AND(E162&gt;100,H162&gt;10000),"High Performing","Normal")</f>
        <v>Normal</v>
      </c>
      <c r="K162" s="2" t="str">
        <f t="shared" ref="K162:K193" si="33">TEXT(A162,"mmm")</f>
        <v>Jun</v>
      </c>
      <c r="L162" s="2">
        <f t="shared" ref="L162:L193" si="34">YEAR(A162)</f>
        <v>2025</v>
      </c>
      <c r="M162" s="2" t="str" cm="1">
        <f t="array" ref="M162">INDEX(D:D,MATCH(MAX(F:F),F:F,0))</f>
        <v>Shoes</v>
      </c>
      <c r="N162" s="2" t="str">
        <f t="shared" ref="N162:N193" si="35">IF(D162="Shoes","Footwear",IF(D162="Bags","Accessories",IF(D162="Wallets","Accessories",IF(D162="Belts","Accessories","Other"))))</f>
        <v>Accessories</v>
      </c>
    </row>
    <row r="163" spans="1:14">
      <c r="A163" s="1">
        <v>45816</v>
      </c>
      <c r="B163" t="s">
        <v>32</v>
      </c>
      <c r="C163" t="s">
        <v>28</v>
      </c>
      <c r="D163" t="s">
        <v>21</v>
      </c>
      <c r="E163">
        <v>58</v>
      </c>
      <c r="F163">
        <v>49068</v>
      </c>
      <c r="G163">
        <v>32124</v>
      </c>
      <c r="H163" s="2">
        <f t="shared" si="30"/>
        <v>16944</v>
      </c>
      <c r="I163" s="2" t="str">
        <f t="shared" si="31"/>
        <v>High</v>
      </c>
      <c r="J163" s="2" t="str">
        <f t="shared" si="32"/>
        <v>Normal</v>
      </c>
      <c r="K163" s="2" t="str">
        <f t="shared" si="33"/>
        <v>Jun</v>
      </c>
      <c r="L163" s="2">
        <f t="shared" si="34"/>
        <v>2025</v>
      </c>
      <c r="M163" s="2" t="str" cm="1">
        <f t="array" ref="M163">INDEX(D:D,MATCH(MAX(F:F),F:F,0))</f>
        <v>Shoes</v>
      </c>
      <c r="N163" s="2" t="str">
        <f t="shared" si="35"/>
        <v>Footwear</v>
      </c>
    </row>
    <row r="164" spans="1:14">
      <c r="A164" s="1">
        <v>45827</v>
      </c>
      <c r="B164" t="s">
        <v>33</v>
      </c>
      <c r="C164" t="s">
        <v>20</v>
      </c>
      <c r="D164" t="s">
        <v>29</v>
      </c>
      <c r="E164">
        <v>133</v>
      </c>
      <c r="F164">
        <v>60249</v>
      </c>
      <c r="G164">
        <v>46330</v>
      </c>
      <c r="H164" s="2">
        <f t="shared" si="30"/>
        <v>13919</v>
      </c>
      <c r="I164" s="2" t="str">
        <f t="shared" si="31"/>
        <v>Medium</v>
      </c>
      <c r="J164" s="2" t="str">
        <f t="shared" si="32"/>
        <v>High Performing</v>
      </c>
      <c r="K164" s="2" t="str">
        <f t="shared" si="33"/>
        <v>Jun</v>
      </c>
      <c r="L164" s="2">
        <f t="shared" si="34"/>
        <v>2025</v>
      </c>
      <c r="M164" s="2" t="str" cm="1">
        <f t="array" ref="M164">INDEX(D:D,MATCH(MAX(F:F),F:F,0))</f>
        <v>Shoes</v>
      </c>
      <c r="N164" s="2" t="str">
        <f t="shared" si="35"/>
        <v>Accessories</v>
      </c>
    </row>
    <row r="165" spans="1:14">
      <c r="A165" s="1">
        <v>45663</v>
      </c>
      <c r="B165" t="s">
        <v>33</v>
      </c>
      <c r="C165" t="s">
        <v>30</v>
      </c>
      <c r="D165" t="s">
        <v>24</v>
      </c>
      <c r="E165">
        <v>132</v>
      </c>
      <c r="F165">
        <v>75108</v>
      </c>
      <c r="G165">
        <v>79385</v>
      </c>
      <c r="H165" s="2">
        <f t="shared" si="30"/>
        <v>-4277</v>
      </c>
      <c r="I165" s="2" t="str">
        <f t="shared" si="31"/>
        <v>Loss</v>
      </c>
      <c r="J165" s="2" t="str">
        <f t="shared" si="32"/>
        <v>Normal</v>
      </c>
      <c r="K165" s="2" t="str">
        <f t="shared" si="33"/>
        <v>Jan</v>
      </c>
      <c r="L165" s="2">
        <f t="shared" si="34"/>
        <v>2025</v>
      </c>
      <c r="M165" s="2" t="str" cm="1">
        <f t="array" ref="M165">INDEX(D:D,MATCH(MAX(F:F),F:F,0))</f>
        <v>Shoes</v>
      </c>
      <c r="N165" s="2" t="str">
        <f t="shared" si="35"/>
        <v>Accessories</v>
      </c>
    </row>
    <row r="166" spans="1:14">
      <c r="A166" s="1">
        <v>45728</v>
      </c>
      <c r="B166" t="s">
        <v>33</v>
      </c>
      <c r="C166" t="s">
        <v>28</v>
      </c>
      <c r="D166" t="s">
        <v>29</v>
      </c>
      <c r="E166">
        <v>192</v>
      </c>
      <c r="F166">
        <v>116928</v>
      </c>
      <c r="G166">
        <v>115262</v>
      </c>
      <c r="H166" s="2">
        <f t="shared" si="30"/>
        <v>1666</v>
      </c>
      <c r="I166" s="2" t="str">
        <f t="shared" si="31"/>
        <v>Low</v>
      </c>
      <c r="J166" s="2" t="str">
        <f t="shared" si="32"/>
        <v>Normal</v>
      </c>
      <c r="K166" s="2" t="str">
        <f t="shared" si="33"/>
        <v>Mar</v>
      </c>
      <c r="L166" s="2">
        <f t="shared" si="34"/>
        <v>2025</v>
      </c>
      <c r="M166" s="2" t="str" cm="1">
        <f t="array" ref="M166">INDEX(D:D,MATCH(MAX(F:F),F:F,0))</f>
        <v>Shoes</v>
      </c>
      <c r="N166" s="2" t="str">
        <f t="shared" si="35"/>
        <v>Accessories</v>
      </c>
    </row>
    <row r="167" spans="1:14">
      <c r="A167" s="1">
        <v>45829</v>
      </c>
      <c r="B167" t="s">
        <v>19</v>
      </c>
      <c r="C167" t="s">
        <v>28</v>
      </c>
      <c r="D167" t="s">
        <v>24</v>
      </c>
      <c r="E167">
        <v>36</v>
      </c>
      <c r="F167">
        <v>18252</v>
      </c>
      <c r="G167">
        <v>3356</v>
      </c>
      <c r="H167" s="2">
        <f t="shared" si="30"/>
        <v>14896</v>
      </c>
      <c r="I167" s="2" t="str">
        <f t="shared" si="31"/>
        <v>Medium</v>
      </c>
      <c r="J167" s="2" t="str">
        <f t="shared" si="32"/>
        <v>Normal</v>
      </c>
      <c r="K167" s="2" t="str">
        <f t="shared" si="33"/>
        <v>Jun</v>
      </c>
      <c r="L167" s="2">
        <f t="shared" si="34"/>
        <v>2025</v>
      </c>
      <c r="M167" s="2" t="str" cm="1">
        <f t="array" ref="M167">INDEX(D:D,MATCH(MAX(F:F),F:F,0))</f>
        <v>Shoes</v>
      </c>
      <c r="N167" s="2" t="str">
        <f t="shared" si="35"/>
        <v>Accessories</v>
      </c>
    </row>
    <row r="168" spans="1:14">
      <c r="A168" s="1">
        <v>45802</v>
      </c>
      <c r="B168" t="s">
        <v>27</v>
      </c>
      <c r="C168" t="s">
        <v>30</v>
      </c>
      <c r="D168" t="s">
        <v>29</v>
      </c>
      <c r="E168">
        <v>96</v>
      </c>
      <c r="F168">
        <v>70944</v>
      </c>
      <c r="G168">
        <v>63226</v>
      </c>
      <c r="H168" s="2">
        <f t="shared" si="30"/>
        <v>7718</v>
      </c>
      <c r="I168" s="2" t="str">
        <f t="shared" si="31"/>
        <v>Medium</v>
      </c>
      <c r="J168" s="2" t="str">
        <f t="shared" si="32"/>
        <v>Normal</v>
      </c>
      <c r="K168" s="2" t="str">
        <f t="shared" si="33"/>
        <v>May</v>
      </c>
      <c r="L168" s="2">
        <f t="shared" si="34"/>
        <v>2025</v>
      </c>
      <c r="M168" s="2" t="str" cm="1">
        <f t="array" ref="M168">INDEX(D:D,MATCH(MAX(F:F),F:F,0))</f>
        <v>Shoes</v>
      </c>
      <c r="N168" s="2" t="str">
        <f t="shared" si="35"/>
        <v>Accessories</v>
      </c>
    </row>
    <row r="169" spans="1:14">
      <c r="A169" s="1">
        <v>45808</v>
      </c>
      <c r="B169" t="s">
        <v>19</v>
      </c>
      <c r="C169" t="s">
        <v>23</v>
      </c>
      <c r="D169" t="s">
        <v>29</v>
      </c>
      <c r="E169">
        <v>80</v>
      </c>
      <c r="F169">
        <v>29440</v>
      </c>
      <c r="G169">
        <v>17050</v>
      </c>
      <c r="H169" s="2">
        <f t="shared" si="30"/>
        <v>12390</v>
      </c>
      <c r="I169" s="2" t="str">
        <f t="shared" si="31"/>
        <v>Medium</v>
      </c>
      <c r="J169" s="2" t="str">
        <f t="shared" si="32"/>
        <v>Normal</v>
      </c>
      <c r="K169" s="2" t="str">
        <f t="shared" si="33"/>
        <v>May</v>
      </c>
      <c r="L169" s="2">
        <f t="shared" si="34"/>
        <v>2025</v>
      </c>
      <c r="M169" s="2" t="str" cm="1">
        <f t="array" ref="M169">INDEX(D:D,MATCH(MAX(F:F),F:F,0))</f>
        <v>Shoes</v>
      </c>
      <c r="N169" s="2" t="str">
        <f t="shared" si="35"/>
        <v>Accessories</v>
      </c>
    </row>
    <row r="170" spans="1:14">
      <c r="A170" s="1">
        <v>45818</v>
      </c>
      <c r="B170" t="s">
        <v>19</v>
      </c>
      <c r="C170" t="s">
        <v>20</v>
      </c>
      <c r="D170" t="s">
        <v>24</v>
      </c>
      <c r="E170">
        <v>47</v>
      </c>
      <c r="F170">
        <v>38211</v>
      </c>
      <c r="G170">
        <v>33247</v>
      </c>
      <c r="H170" s="2">
        <f t="shared" si="30"/>
        <v>4964</v>
      </c>
      <c r="I170" s="2" t="str">
        <f t="shared" si="31"/>
        <v>Low</v>
      </c>
      <c r="J170" s="2" t="str">
        <f t="shared" si="32"/>
        <v>Normal</v>
      </c>
      <c r="K170" s="2" t="str">
        <f t="shared" si="33"/>
        <v>Jun</v>
      </c>
      <c r="L170" s="2">
        <f t="shared" si="34"/>
        <v>2025</v>
      </c>
      <c r="M170" s="2" t="str" cm="1">
        <f t="array" ref="M170">INDEX(D:D,MATCH(MAX(F:F),F:F,0))</f>
        <v>Shoes</v>
      </c>
      <c r="N170" s="2" t="str">
        <f t="shared" si="35"/>
        <v>Accessories</v>
      </c>
    </row>
    <row r="171" spans="1:14">
      <c r="A171" s="1">
        <v>45824</v>
      </c>
      <c r="B171" t="s">
        <v>33</v>
      </c>
      <c r="C171" t="s">
        <v>20</v>
      </c>
      <c r="D171" t="s">
        <v>31</v>
      </c>
      <c r="E171">
        <v>182</v>
      </c>
      <c r="F171">
        <v>47320</v>
      </c>
      <c r="G171">
        <v>30377</v>
      </c>
      <c r="H171" s="2">
        <f t="shared" si="30"/>
        <v>16943</v>
      </c>
      <c r="I171" s="2" t="str">
        <f t="shared" si="31"/>
        <v>High</v>
      </c>
      <c r="J171" s="2" t="str">
        <f t="shared" si="32"/>
        <v>High Performing</v>
      </c>
      <c r="K171" s="2" t="str">
        <f t="shared" si="33"/>
        <v>Jun</v>
      </c>
      <c r="L171" s="2">
        <f t="shared" si="34"/>
        <v>2025</v>
      </c>
      <c r="M171" s="2" t="str" cm="1">
        <f t="array" ref="M171">INDEX(D:D,MATCH(MAX(F:F),F:F,0))</f>
        <v>Shoes</v>
      </c>
      <c r="N171" s="2" t="str">
        <f t="shared" si="35"/>
        <v>Accessories</v>
      </c>
    </row>
    <row r="172" spans="1:14">
      <c r="A172" s="1">
        <v>45736</v>
      </c>
      <c r="B172" t="s">
        <v>32</v>
      </c>
      <c r="C172" t="s">
        <v>23</v>
      </c>
      <c r="D172" t="s">
        <v>24</v>
      </c>
      <c r="E172">
        <v>115</v>
      </c>
      <c r="F172">
        <v>85100</v>
      </c>
      <c r="G172">
        <v>79423</v>
      </c>
      <c r="H172" s="2">
        <f t="shared" si="30"/>
        <v>5677</v>
      </c>
      <c r="I172" s="2" t="str">
        <f t="shared" si="31"/>
        <v>Medium</v>
      </c>
      <c r="J172" s="2" t="str">
        <f t="shared" si="32"/>
        <v>Normal</v>
      </c>
      <c r="K172" s="2" t="str">
        <f t="shared" si="33"/>
        <v>Mar</v>
      </c>
      <c r="L172" s="2">
        <f t="shared" si="34"/>
        <v>2025</v>
      </c>
      <c r="M172" s="2" t="str" cm="1">
        <f t="array" ref="M172">INDEX(D:D,MATCH(MAX(F:F),F:F,0))</f>
        <v>Shoes</v>
      </c>
      <c r="N172" s="2" t="str">
        <f t="shared" si="35"/>
        <v>Accessories</v>
      </c>
    </row>
    <row r="173" spans="1:14">
      <c r="A173" s="1">
        <v>45784</v>
      </c>
      <c r="B173" t="s">
        <v>19</v>
      </c>
      <c r="C173" t="s">
        <v>28</v>
      </c>
      <c r="D173" t="s">
        <v>24</v>
      </c>
      <c r="E173">
        <v>104</v>
      </c>
      <c r="F173">
        <v>56160</v>
      </c>
      <c r="G173">
        <v>37282</v>
      </c>
      <c r="H173" s="2">
        <f t="shared" si="30"/>
        <v>18878</v>
      </c>
      <c r="I173" s="2" t="str">
        <f t="shared" si="31"/>
        <v>High</v>
      </c>
      <c r="J173" s="2" t="str">
        <f t="shared" si="32"/>
        <v>High Performing</v>
      </c>
      <c r="K173" s="2" t="str">
        <f t="shared" si="33"/>
        <v>May</v>
      </c>
      <c r="L173" s="2">
        <f t="shared" si="34"/>
        <v>2025</v>
      </c>
      <c r="M173" s="2" t="str" cm="1">
        <f t="array" ref="M173">INDEX(D:D,MATCH(MAX(F:F),F:F,0))</f>
        <v>Shoes</v>
      </c>
      <c r="N173" s="2" t="str">
        <f t="shared" si="35"/>
        <v>Accessories</v>
      </c>
    </row>
    <row r="174" spans="1:14">
      <c r="A174" s="1">
        <v>45784</v>
      </c>
      <c r="B174" t="s">
        <v>33</v>
      </c>
      <c r="C174" t="s">
        <v>23</v>
      </c>
      <c r="D174" t="s">
        <v>29</v>
      </c>
      <c r="E174">
        <v>153</v>
      </c>
      <c r="F174">
        <v>48654</v>
      </c>
      <c r="G174">
        <v>42845</v>
      </c>
      <c r="H174" s="2">
        <f t="shared" si="30"/>
        <v>5809</v>
      </c>
      <c r="I174" s="2" t="str">
        <f t="shared" si="31"/>
        <v>Medium</v>
      </c>
      <c r="J174" s="2" t="str">
        <f t="shared" si="32"/>
        <v>Normal</v>
      </c>
      <c r="K174" s="2" t="str">
        <f t="shared" si="33"/>
        <v>May</v>
      </c>
      <c r="L174" s="2">
        <f t="shared" si="34"/>
        <v>2025</v>
      </c>
      <c r="M174" s="2" t="str" cm="1">
        <f t="array" ref="M174">INDEX(D:D,MATCH(MAX(F:F),F:F,0))</f>
        <v>Shoes</v>
      </c>
      <c r="N174" s="2" t="str">
        <f t="shared" si="35"/>
        <v>Accessories</v>
      </c>
    </row>
    <row r="175" spans="1:14">
      <c r="A175" s="1">
        <v>45826</v>
      </c>
      <c r="B175" t="s">
        <v>32</v>
      </c>
      <c r="C175" t="s">
        <v>23</v>
      </c>
      <c r="D175" t="s">
        <v>31</v>
      </c>
      <c r="E175">
        <v>13</v>
      </c>
      <c r="F175">
        <v>7579</v>
      </c>
      <c r="G175">
        <v>-3666</v>
      </c>
      <c r="H175" s="2">
        <f t="shared" si="30"/>
        <v>11245</v>
      </c>
      <c r="I175" s="2" t="str">
        <f t="shared" si="31"/>
        <v>Medium</v>
      </c>
      <c r="J175" s="2" t="str">
        <f t="shared" si="32"/>
        <v>Normal</v>
      </c>
      <c r="K175" s="2" t="str">
        <f t="shared" si="33"/>
        <v>Jun</v>
      </c>
      <c r="L175" s="2">
        <f t="shared" si="34"/>
        <v>2025</v>
      </c>
      <c r="M175" s="2" t="str" cm="1">
        <f t="array" ref="M175">INDEX(D:D,MATCH(MAX(F:F),F:F,0))</f>
        <v>Shoes</v>
      </c>
      <c r="N175" s="2" t="str">
        <f t="shared" si="35"/>
        <v>Accessories</v>
      </c>
    </row>
    <row r="176" spans="1:14">
      <c r="A176" s="1">
        <v>45715</v>
      </c>
      <c r="B176" t="s">
        <v>19</v>
      </c>
      <c r="C176" t="s">
        <v>23</v>
      </c>
      <c r="D176" t="s">
        <v>29</v>
      </c>
      <c r="E176">
        <v>179</v>
      </c>
      <c r="F176">
        <v>126016</v>
      </c>
      <c r="G176">
        <v>119286</v>
      </c>
      <c r="H176" s="2">
        <f t="shared" si="30"/>
        <v>6730</v>
      </c>
      <c r="I176" s="2" t="str">
        <f t="shared" si="31"/>
        <v>Medium</v>
      </c>
      <c r="J176" s="2" t="str">
        <f t="shared" si="32"/>
        <v>Normal</v>
      </c>
      <c r="K176" s="2" t="str">
        <f t="shared" si="33"/>
        <v>Feb</v>
      </c>
      <c r="L176" s="2">
        <f t="shared" si="34"/>
        <v>2025</v>
      </c>
      <c r="M176" s="2" t="str" cm="1">
        <f t="array" ref="M176">INDEX(D:D,MATCH(MAX(F:F),F:F,0))</f>
        <v>Shoes</v>
      </c>
      <c r="N176" s="2" t="str">
        <f t="shared" si="35"/>
        <v>Accessories</v>
      </c>
    </row>
    <row r="177" spans="1:14">
      <c r="A177" s="1">
        <v>45781</v>
      </c>
      <c r="B177" t="s">
        <v>19</v>
      </c>
      <c r="C177" t="s">
        <v>34</v>
      </c>
      <c r="D177" t="s">
        <v>24</v>
      </c>
      <c r="E177">
        <v>102</v>
      </c>
      <c r="F177">
        <v>53754</v>
      </c>
      <c r="G177">
        <v>47981</v>
      </c>
      <c r="H177" s="2">
        <f t="shared" si="30"/>
        <v>5773</v>
      </c>
      <c r="I177" s="2" t="str">
        <f t="shared" si="31"/>
        <v>Medium</v>
      </c>
      <c r="J177" s="2" t="str">
        <f t="shared" si="32"/>
        <v>Normal</v>
      </c>
      <c r="K177" s="2" t="str">
        <f t="shared" si="33"/>
        <v>May</v>
      </c>
      <c r="L177" s="2">
        <f t="shared" si="34"/>
        <v>2025</v>
      </c>
      <c r="M177" s="2" t="str" cm="1">
        <f t="array" ref="M177">INDEX(D:D,MATCH(MAX(F:F),F:F,0))</f>
        <v>Shoes</v>
      </c>
      <c r="N177" s="2" t="str">
        <f t="shared" si="35"/>
        <v>Accessories</v>
      </c>
    </row>
    <row r="178" spans="1:14">
      <c r="A178" s="1">
        <v>45810</v>
      </c>
      <c r="B178" t="s">
        <v>32</v>
      </c>
      <c r="C178" t="s">
        <v>30</v>
      </c>
      <c r="D178" t="s">
        <v>31</v>
      </c>
      <c r="E178">
        <v>51</v>
      </c>
      <c r="F178">
        <v>30600</v>
      </c>
      <c r="G178">
        <v>32034</v>
      </c>
      <c r="H178" s="2">
        <f t="shared" si="30"/>
        <v>-1434</v>
      </c>
      <c r="I178" s="2" t="str">
        <f t="shared" si="31"/>
        <v>Loss</v>
      </c>
      <c r="J178" s="2" t="str">
        <f t="shared" si="32"/>
        <v>Normal</v>
      </c>
      <c r="K178" s="2" t="str">
        <f t="shared" si="33"/>
        <v>Jun</v>
      </c>
      <c r="L178" s="2">
        <f t="shared" si="34"/>
        <v>2025</v>
      </c>
      <c r="M178" s="2" t="str" cm="1">
        <f t="array" ref="M178">INDEX(D:D,MATCH(MAX(F:F),F:F,0))</f>
        <v>Shoes</v>
      </c>
      <c r="N178" s="2" t="str">
        <f t="shared" si="35"/>
        <v>Accessories</v>
      </c>
    </row>
    <row r="179" spans="1:14">
      <c r="A179" s="1">
        <v>45738</v>
      </c>
      <c r="B179" t="s">
        <v>19</v>
      </c>
      <c r="C179" t="s">
        <v>30</v>
      </c>
      <c r="D179" t="s">
        <v>29</v>
      </c>
      <c r="E179">
        <v>197</v>
      </c>
      <c r="F179">
        <v>98106</v>
      </c>
      <c r="G179">
        <v>84438</v>
      </c>
      <c r="H179" s="2">
        <f t="shared" si="30"/>
        <v>13668</v>
      </c>
      <c r="I179" s="2" t="str">
        <f t="shared" si="31"/>
        <v>Medium</v>
      </c>
      <c r="J179" s="2" t="str">
        <f t="shared" si="32"/>
        <v>High Performing</v>
      </c>
      <c r="K179" s="2" t="str">
        <f t="shared" si="33"/>
        <v>Mar</v>
      </c>
      <c r="L179" s="2">
        <f t="shared" si="34"/>
        <v>2025</v>
      </c>
      <c r="M179" s="2" t="str" cm="1">
        <f t="array" ref="M179">INDEX(D:D,MATCH(MAX(F:F),F:F,0))</f>
        <v>Shoes</v>
      </c>
      <c r="N179" s="2" t="str">
        <f t="shared" si="35"/>
        <v>Accessories</v>
      </c>
    </row>
    <row r="180" spans="1:14">
      <c r="A180" s="1">
        <v>45787</v>
      </c>
      <c r="B180" t="s">
        <v>32</v>
      </c>
      <c r="C180" t="s">
        <v>30</v>
      </c>
      <c r="D180" t="s">
        <v>21</v>
      </c>
      <c r="E180">
        <v>68</v>
      </c>
      <c r="F180">
        <v>13872</v>
      </c>
      <c r="G180">
        <v>8112</v>
      </c>
      <c r="H180" s="2">
        <f t="shared" si="30"/>
        <v>5760</v>
      </c>
      <c r="I180" s="2" t="str">
        <f t="shared" si="31"/>
        <v>Medium</v>
      </c>
      <c r="J180" s="2" t="str">
        <f t="shared" si="32"/>
        <v>Normal</v>
      </c>
      <c r="K180" s="2" t="str">
        <f t="shared" si="33"/>
        <v>May</v>
      </c>
      <c r="L180" s="2">
        <f t="shared" si="34"/>
        <v>2025</v>
      </c>
      <c r="M180" s="2" t="str" cm="1">
        <f t="array" ref="M180">INDEX(D:D,MATCH(MAX(F:F),F:F,0))</f>
        <v>Shoes</v>
      </c>
      <c r="N180" s="2" t="str">
        <f t="shared" si="35"/>
        <v>Footwear</v>
      </c>
    </row>
    <row r="181" spans="1:14">
      <c r="A181" s="1">
        <v>45756</v>
      </c>
      <c r="B181" t="s">
        <v>27</v>
      </c>
      <c r="C181" t="s">
        <v>23</v>
      </c>
      <c r="D181" t="s">
        <v>21</v>
      </c>
      <c r="E181">
        <v>179</v>
      </c>
      <c r="F181">
        <v>145706</v>
      </c>
      <c r="G181">
        <v>138120</v>
      </c>
      <c r="H181" s="2">
        <f t="shared" si="30"/>
        <v>7586</v>
      </c>
      <c r="I181" s="2" t="str">
        <f t="shared" si="31"/>
        <v>Medium</v>
      </c>
      <c r="J181" s="2" t="str">
        <f t="shared" si="32"/>
        <v>Normal</v>
      </c>
      <c r="K181" s="2" t="str">
        <f t="shared" si="33"/>
        <v>Apr</v>
      </c>
      <c r="L181" s="2">
        <f t="shared" si="34"/>
        <v>2025</v>
      </c>
      <c r="M181" s="2" t="str" cm="1">
        <f t="array" ref="M181">INDEX(D:D,MATCH(MAX(F:F),F:F,0))</f>
        <v>Shoes</v>
      </c>
      <c r="N181" s="2" t="str">
        <f t="shared" si="35"/>
        <v>Footwear</v>
      </c>
    </row>
    <row r="182" spans="1:14">
      <c r="A182" s="1">
        <v>45710</v>
      </c>
      <c r="B182" t="s">
        <v>32</v>
      </c>
      <c r="C182" t="s">
        <v>20</v>
      </c>
      <c r="D182" t="s">
        <v>21</v>
      </c>
      <c r="E182">
        <v>115</v>
      </c>
      <c r="F182">
        <v>42320</v>
      </c>
      <c r="G182">
        <v>28602</v>
      </c>
      <c r="H182" s="2">
        <f t="shared" si="30"/>
        <v>13718</v>
      </c>
      <c r="I182" s="2" t="str">
        <f t="shared" si="31"/>
        <v>Medium</v>
      </c>
      <c r="J182" s="2" t="str">
        <f t="shared" si="32"/>
        <v>High Performing</v>
      </c>
      <c r="K182" s="2" t="str">
        <f t="shared" si="33"/>
        <v>Feb</v>
      </c>
      <c r="L182" s="2">
        <f t="shared" si="34"/>
        <v>2025</v>
      </c>
      <c r="M182" s="2" t="str" cm="1">
        <f t="array" ref="M182">INDEX(D:D,MATCH(MAX(F:F),F:F,0))</f>
        <v>Shoes</v>
      </c>
      <c r="N182" s="2" t="str">
        <f t="shared" si="35"/>
        <v>Footwear</v>
      </c>
    </row>
    <row r="183" spans="1:14">
      <c r="A183" s="1">
        <v>45833</v>
      </c>
      <c r="B183" t="s">
        <v>33</v>
      </c>
      <c r="C183" t="s">
        <v>34</v>
      </c>
      <c r="D183" t="s">
        <v>21</v>
      </c>
      <c r="E183">
        <v>194</v>
      </c>
      <c r="F183">
        <v>191478</v>
      </c>
      <c r="G183">
        <v>177457</v>
      </c>
      <c r="H183" s="2">
        <f t="shared" si="30"/>
        <v>14021</v>
      </c>
      <c r="I183" s="2" t="str">
        <f t="shared" si="31"/>
        <v>Medium</v>
      </c>
      <c r="J183" s="2" t="str">
        <f t="shared" si="32"/>
        <v>High Performing</v>
      </c>
      <c r="K183" s="2" t="str">
        <f t="shared" si="33"/>
        <v>Jun</v>
      </c>
      <c r="L183" s="2">
        <f t="shared" si="34"/>
        <v>2025</v>
      </c>
      <c r="M183" s="2" t="str" cm="1">
        <f t="array" ref="M183">INDEX(D:D,MATCH(MAX(F:F),F:F,0))</f>
        <v>Shoes</v>
      </c>
      <c r="N183" s="2" t="str">
        <f t="shared" si="35"/>
        <v>Footwear</v>
      </c>
    </row>
    <row r="184" spans="1:14">
      <c r="A184" s="1">
        <v>45694</v>
      </c>
      <c r="B184" t="s">
        <v>27</v>
      </c>
      <c r="C184" t="s">
        <v>23</v>
      </c>
      <c r="D184" t="s">
        <v>29</v>
      </c>
      <c r="E184">
        <v>15</v>
      </c>
      <c r="F184">
        <v>11085</v>
      </c>
      <c r="G184">
        <v>-6256</v>
      </c>
      <c r="H184" s="2">
        <f t="shared" si="30"/>
        <v>17341</v>
      </c>
      <c r="I184" s="2" t="str">
        <f t="shared" si="31"/>
        <v>High</v>
      </c>
      <c r="J184" s="2" t="str">
        <f t="shared" si="32"/>
        <v>Normal</v>
      </c>
      <c r="K184" s="2" t="str">
        <f t="shared" si="33"/>
        <v>Feb</v>
      </c>
      <c r="L184" s="2">
        <f t="shared" si="34"/>
        <v>2025</v>
      </c>
      <c r="M184" s="2" t="str" cm="1">
        <f t="array" ref="M184">INDEX(D:D,MATCH(MAX(F:F),F:F,0))</f>
        <v>Shoes</v>
      </c>
      <c r="N184" s="2" t="str">
        <f t="shared" si="35"/>
        <v>Accessories</v>
      </c>
    </row>
    <row r="185" spans="1:14">
      <c r="A185" s="1">
        <v>45694</v>
      </c>
      <c r="B185" t="s">
        <v>33</v>
      </c>
      <c r="C185" t="s">
        <v>20</v>
      </c>
      <c r="D185" t="s">
        <v>29</v>
      </c>
      <c r="E185">
        <v>19</v>
      </c>
      <c r="F185">
        <v>10146</v>
      </c>
      <c r="G185">
        <v>8471</v>
      </c>
      <c r="H185" s="2">
        <f t="shared" si="30"/>
        <v>1675</v>
      </c>
      <c r="I185" s="2" t="str">
        <f t="shared" si="31"/>
        <v>Low</v>
      </c>
      <c r="J185" s="2" t="str">
        <f t="shared" si="32"/>
        <v>Normal</v>
      </c>
      <c r="K185" s="2" t="str">
        <f t="shared" si="33"/>
        <v>Feb</v>
      </c>
      <c r="L185" s="2">
        <f t="shared" si="34"/>
        <v>2025</v>
      </c>
      <c r="M185" s="2" t="str" cm="1">
        <f t="array" ref="M185">INDEX(D:D,MATCH(MAX(F:F),F:F,0))</f>
        <v>Shoes</v>
      </c>
      <c r="N185" s="2" t="str">
        <f t="shared" si="35"/>
        <v>Accessories</v>
      </c>
    </row>
    <row r="186" spans="1:14">
      <c r="A186" s="1">
        <v>45818</v>
      </c>
      <c r="B186" t="s">
        <v>32</v>
      </c>
      <c r="C186" t="s">
        <v>34</v>
      </c>
      <c r="D186" t="s">
        <v>31</v>
      </c>
      <c r="E186">
        <v>31</v>
      </c>
      <c r="F186">
        <v>25420</v>
      </c>
      <c r="G186">
        <v>8060</v>
      </c>
      <c r="H186" s="2">
        <f t="shared" si="30"/>
        <v>17360</v>
      </c>
      <c r="I186" s="2" t="str">
        <f t="shared" si="31"/>
        <v>High</v>
      </c>
      <c r="J186" s="2" t="str">
        <f t="shared" si="32"/>
        <v>Normal</v>
      </c>
      <c r="K186" s="2" t="str">
        <f t="shared" si="33"/>
        <v>Jun</v>
      </c>
      <c r="L186" s="2">
        <f t="shared" si="34"/>
        <v>2025</v>
      </c>
      <c r="M186" s="2" t="str" cm="1">
        <f t="array" ref="M186">INDEX(D:D,MATCH(MAX(F:F),F:F,0))</f>
        <v>Shoes</v>
      </c>
      <c r="N186" s="2" t="str">
        <f t="shared" si="35"/>
        <v>Accessories</v>
      </c>
    </row>
    <row r="187" spans="1:14">
      <c r="A187" s="1">
        <v>45716</v>
      </c>
      <c r="B187" t="s">
        <v>32</v>
      </c>
      <c r="C187" t="s">
        <v>28</v>
      </c>
      <c r="D187" t="s">
        <v>31</v>
      </c>
      <c r="E187">
        <v>127</v>
      </c>
      <c r="F187">
        <v>45466</v>
      </c>
      <c r="G187">
        <v>49248</v>
      </c>
      <c r="H187" s="2">
        <f t="shared" si="30"/>
        <v>-3782</v>
      </c>
      <c r="I187" s="2" t="str">
        <f t="shared" si="31"/>
        <v>Loss</v>
      </c>
      <c r="J187" s="2" t="str">
        <f t="shared" si="32"/>
        <v>Normal</v>
      </c>
      <c r="K187" s="2" t="str">
        <f t="shared" si="33"/>
        <v>Feb</v>
      </c>
      <c r="L187" s="2">
        <f t="shared" si="34"/>
        <v>2025</v>
      </c>
      <c r="M187" s="2" t="str" cm="1">
        <f t="array" ref="M187">INDEX(D:D,MATCH(MAX(F:F),F:F,0))</f>
        <v>Shoes</v>
      </c>
      <c r="N187" s="2" t="str">
        <f t="shared" si="35"/>
        <v>Accessories</v>
      </c>
    </row>
    <row r="188" spans="1:14">
      <c r="A188" s="1">
        <v>45823</v>
      </c>
      <c r="B188" t="s">
        <v>19</v>
      </c>
      <c r="C188" t="s">
        <v>28</v>
      </c>
      <c r="D188" t="s">
        <v>31</v>
      </c>
      <c r="E188">
        <v>150</v>
      </c>
      <c r="F188">
        <v>45150</v>
      </c>
      <c r="G188">
        <v>44117</v>
      </c>
      <c r="H188" s="2">
        <f t="shared" si="30"/>
        <v>1033</v>
      </c>
      <c r="I188" s="2" t="str">
        <f t="shared" si="31"/>
        <v>Low</v>
      </c>
      <c r="J188" s="2" t="str">
        <f t="shared" si="32"/>
        <v>Normal</v>
      </c>
      <c r="K188" s="2" t="str">
        <f t="shared" si="33"/>
        <v>Jun</v>
      </c>
      <c r="L188" s="2">
        <f t="shared" si="34"/>
        <v>2025</v>
      </c>
      <c r="M188" s="2" t="str" cm="1">
        <f t="array" ref="M188">INDEX(D:D,MATCH(MAX(F:F),F:F,0))</f>
        <v>Shoes</v>
      </c>
      <c r="N188" s="2" t="str">
        <f t="shared" si="35"/>
        <v>Accessories</v>
      </c>
    </row>
    <row r="189" spans="1:14">
      <c r="A189" s="1">
        <v>45677</v>
      </c>
      <c r="B189" t="s">
        <v>27</v>
      </c>
      <c r="C189" t="s">
        <v>34</v>
      </c>
      <c r="D189" t="s">
        <v>24</v>
      </c>
      <c r="E189">
        <v>198</v>
      </c>
      <c r="F189">
        <v>146916</v>
      </c>
      <c r="G189">
        <v>133478</v>
      </c>
      <c r="H189" s="2">
        <f t="shared" si="30"/>
        <v>13438</v>
      </c>
      <c r="I189" s="2" t="str">
        <f t="shared" si="31"/>
        <v>Medium</v>
      </c>
      <c r="J189" s="2" t="str">
        <f t="shared" si="32"/>
        <v>High Performing</v>
      </c>
      <c r="K189" s="2" t="str">
        <f t="shared" si="33"/>
        <v>Jan</v>
      </c>
      <c r="L189" s="2">
        <f t="shared" si="34"/>
        <v>2025</v>
      </c>
      <c r="M189" s="2" t="str" cm="1">
        <f t="array" ref="M189">INDEX(D:D,MATCH(MAX(F:F),F:F,0))</f>
        <v>Shoes</v>
      </c>
      <c r="N189" s="2" t="str">
        <f t="shared" si="35"/>
        <v>Accessories</v>
      </c>
    </row>
    <row r="190" spans="1:14">
      <c r="A190" s="1">
        <v>45802</v>
      </c>
      <c r="B190" t="s">
        <v>32</v>
      </c>
      <c r="C190" t="s">
        <v>23</v>
      </c>
      <c r="D190" t="s">
        <v>31</v>
      </c>
      <c r="E190">
        <v>195</v>
      </c>
      <c r="F190">
        <v>58500</v>
      </c>
      <c r="G190">
        <v>58837</v>
      </c>
      <c r="H190" s="2">
        <f t="shared" si="30"/>
        <v>-337</v>
      </c>
      <c r="I190" s="2" t="str">
        <f t="shared" si="31"/>
        <v>Loss</v>
      </c>
      <c r="J190" s="2" t="str">
        <f t="shared" si="32"/>
        <v>Normal</v>
      </c>
      <c r="K190" s="2" t="str">
        <f t="shared" si="33"/>
        <v>May</v>
      </c>
      <c r="L190" s="2">
        <f t="shared" si="34"/>
        <v>2025</v>
      </c>
      <c r="M190" s="2" t="str" cm="1">
        <f t="array" ref="M190">INDEX(D:D,MATCH(MAX(F:F),F:F,0))</f>
        <v>Shoes</v>
      </c>
      <c r="N190" s="2" t="str">
        <f t="shared" si="35"/>
        <v>Accessories</v>
      </c>
    </row>
    <row r="191" spans="1:14">
      <c r="A191" s="1">
        <v>45788</v>
      </c>
      <c r="B191" t="s">
        <v>33</v>
      </c>
      <c r="C191" t="s">
        <v>28</v>
      </c>
      <c r="D191" t="s">
        <v>31</v>
      </c>
      <c r="E191">
        <v>90</v>
      </c>
      <c r="F191">
        <v>25200</v>
      </c>
      <c r="G191">
        <v>27142</v>
      </c>
      <c r="H191" s="2">
        <f t="shared" si="30"/>
        <v>-1942</v>
      </c>
      <c r="I191" s="2" t="str">
        <f t="shared" si="31"/>
        <v>Loss</v>
      </c>
      <c r="J191" s="2" t="str">
        <f t="shared" si="32"/>
        <v>Normal</v>
      </c>
      <c r="K191" s="2" t="str">
        <f t="shared" si="33"/>
        <v>May</v>
      </c>
      <c r="L191" s="2">
        <f t="shared" si="34"/>
        <v>2025</v>
      </c>
      <c r="M191" s="2" t="str" cm="1">
        <f t="array" ref="M191">INDEX(D:D,MATCH(MAX(F:F),F:F,0))</f>
        <v>Shoes</v>
      </c>
      <c r="N191" s="2" t="str">
        <f t="shared" si="35"/>
        <v>Accessories</v>
      </c>
    </row>
    <row r="192" spans="1:14">
      <c r="A192" s="1">
        <v>45821</v>
      </c>
      <c r="B192" t="s">
        <v>19</v>
      </c>
      <c r="C192" t="s">
        <v>30</v>
      </c>
      <c r="D192" t="s">
        <v>31</v>
      </c>
      <c r="E192">
        <v>45</v>
      </c>
      <c r="F192">
        <v>16560</v>
      </c>
      <c r="G192">
        <v>20861</v>
      </c>
      <c r="H192" s="2">
        <f t="shared" si="30"/>
        <v>-4301</v>
      </c>
      <c r="I192" s="2" t="str">
        <f t="shared" si="31"/>
        <v>Loss</v>
      </c>
      <c r="J192" s="2" t="str">
        <f t="shared" si="32"/>
        <v>Normal</v>
      </c>
      <c r="K192" s="2" t="str">
        <f t="shared" si="33"/>
        <v>Jun</v>
      </c>
      <c r="L192" s="2">
        <f t="shared" si="34"/>
        <v>2025</v>
      </c>
      <c r="M192" s="2" t="str" cm="1">
        <f t="array" ref="M192">INDEX(D:D,MATCH(MAX(F:F),F:F,0))</f>
        <v>Shoes</v>
      </c>
      <c r="N192" s="2" t="str">
        <f t="shared" si="35"/>
        <v>Accessories</v>
      </c>
    </row>
    <row r="193" spans="1:14">
      <c r="A193" s="1">
        <v>45662</v>
      </c>
      <c r="B193" t="s">
        <v>33</v>
      </c>
      <c r="C193" t="s">
        <v>20</v>
      </c>
      <c r="D193" t="s">
        <v>21</v>
      </c>
      <c r="E193">
        <v>138</v>
      </c>
      <c r="F193">
        <v>38364</v>
      </c>
      <c r="G193">
        <v>34331</v>
      </c>
      <c r="H193" s="2">
        <f t="shared" si="30"/>
        <v>4033</v>
      </c>
      <c r="I193" s="2" t="str">
        <f t="shared" si="31"/>
        <v>Low</v>
      </c>
      <c r="J193" s="2" t="str">
        <f t="shared" si="32"/>
        <v>Normal</v>
      </c>
      <c r="K193" s="2" t="str">
        <f t="shared" si="33"/>
        <v>Jan</v>
      </c>
      <c r="L193" s="2">
        <f t="shared" si="34"/>
        <v>2025</v>
      </c>
      <c r="M193" s="2" t="str" cm="1">
        <f t="array" ref="M193">INDEX(D:D,MATCH(MAX(F:F),F:F,0))</f>
        <v>Shoes</v>
      </c>
      <c r="N193" s="2" t="str">
        <f t="shared" si="35"/>
        <v>Footwear</v>
      </c>
    </row>
    <row r="194" spans="1:14">
      <c r="A194" s="1">
        <v>45771</v>
      </c>
      <c r="B194" t="s">
        <v>19</v>
      </c>
      <c r="C194" t="s">
        <v>23</v>
      </c>
      <c r="D194" t="s">
        <v>24</v>
      </c>
      <c r="E194">
        <v>25</v>
      </c>
      <c r="F194">
        <v>10600</v>
      </c>
      <c r="G194">
        <v>12499</v>
      </c>
      <c r="H194" s="2">
        <f>(F194-G194)</f>
        <v>-1899</v>
      </c>
      <c r="I194" s="2" t="str">
        <f>IF(H194&lt;0,"Loss",IF(H194&lt;5000,"Low",IF(H194&lt;15000,"Medium","High")))</f>
        <v>Loss</v>
      </c>
      <c r="J194" s="2" t="str">
        <f>IF(AND(E194&gt;100,H194&gt;10000),"High Performing","Normal")</f>
        <v>Normal</v>
      </c>
      <c r="K194" s="2" t="str">
        <f>TEXT(A194,"mmm")</f>
        <v>Apr</v>
      </c>
      <c r="L194" s="2">
        <f>YEAR(A194)</f>
        <v>2025</v>
      </c>
      <c r="M194" s="2" t="str" cm="1">
        <f t="array" ref="M194">INDEX(D:D,MATCH(MAX(F:F),F:F,0))</f>
        <v>Shoes</v>
      </c>
      <c r="N194" s="2" t="str">
        <f>IF(D194="Shoes","Footwear",IF(D194="Bags","Accessories",IF(D194="Wallets","Accessories",IF(D194="Belts","Accessories","Other"))))</f>
        <v>Accessories</v>
      </c>
    </row>
    <row r="195" spans="1:14">
      <c r="A195" s="1">
        <v>45660</v>
      </c>
      <c r="B195" t="s">
        <v>33</v>
      </c>
      <c r="C195" t="s">
        <v>28</v>
      </c>
      <c r="D195" t="s">
        <v>31</v>
      </c>
      <c r="E195">
        <v>198</v>
      </c>
      <c r="F195">
        <v>183150</v>
      </c>
      <c r="G195">
        <v>173927</v>
      </c>
      <c r="H195" s="2">
        <f>(F195-G195)</f>
        <v>9223</v>
      </c>
      <c r="I195" s="2" t="str">
        <f>IF(H195&lt;0,"Loss",IF(H195&lt;5000,"Low",IF(H195&lt;15000,"Medium","High")))</f>
        <v>Medium</v>
      </c>
      <c r="J195" s="2" t="str">
        <f>IF(AND(E195&gt;100,H195&gt;10000),"High Performing","Normal")</f>
        <v>Normal</v>
      </c>
      <c r="K195" s="2" t="str">
        <f>TEXT(A195,"mmm")</f>
        <v>Jan</v>
      </c>
      <c r="L195" s="2">
        <f>YEAR(A195)</f>
        <v>2025</v>
      </c>
      <c r="M195" s="2" t="str" cm="1">
        <f t="array" ref="M195">INDEX(D:D,MATCH(MAX(F:F),F:F,0))</f>
        <v>Shoes</v>
      </c>
      <c r="N195" s="2" t="str">
        <f>IF(D195="Shoes","Footwear",IF(D195="Bags","Accessories",IF(D195="Wallets","Accessories",IF(D195="Belts","Accessories","Other"))))</f>
        <v>Accessories</v>
      </c>
    </row>
    <row r="196" spans="1:14">
      <c r="A196" s="1">
        <v>45800</v>
      </c>
      <c r="B196" t="s">
        <v>33</v>
      </c>
      <c r="C196" t="s">
        <v>23</v>
      </c>
      <c r="D196" t="s">
        <v>21</v>
      </c>
      <c r="E196">
        <v>81</v>
      </c>
      <c r="F196">
        <v>52407</v>
      </c>
      <c r="G196">
        <v>52341</v>
      </c>
      <c r="H196" s="2">
        <f>(F196-G196)</f>
        <v>66</v>
      </c>
      <c r="I196" s="2" t="str">
        <f>IF(H196&lt;0,"Loss",IF(H196&lt;5000,"Low",IF(H196&lt;15000,"Medium","High")))</f>
        <v>Low</v>
      </c>
      <c r="J196" s="2" t="str">
        <f>IF(AND(E196&gt;100,H196&gt;10000),"High Performing","Normal")</f>
        <v>Normal</v>
      </c>
      <c r="K196" s="2" t="str">
        <f>TEXT(A196,"mmm")</f>
        <v>May</v>
      </c>
      <c r="L196" s="2">
        <f>YEAR(A196)</f>
        <v>2025</v>
      </c>
      <c r="M196" s="2" t="str" cm="1">
        <f t="array" ref="M196">INDEX(D:D,MATCH(MAX(F:F),F:F,0))</f>
        <v>Shoes</v>
      </c>
      <c r="N196" s="2" t="str">
        <f>IF(D196="Shoes","Footwear",IF(D196="Bags","Accessories",IF(D196="Wallets","Accessories",IF(D196="Belts","Accessories","Other"))))</f>
        <v>Footwear</v>
      </c>
    </row>
    <row r="197" spans="1:14">
      <c r="A197" s="1">
        <v>45828</v>
      </c>
      <c r="B197" t="s">
        <v>32</v>
      </c>
      <c r="C197" t="s">
        <v>28</v>
      </c>
      <c r="D197" t="s">
        <v>29</v>
      </c>
      <c r="E197">
        <v>103</v>
      </c>
      <c r="F197">
        <v>26471</v>
      </c>
      <c r="G197">
        <v>7786</v>
      </c>
      <c r="H197" s="2">
        <f>(F197-G197)</f>
        <v>18685</v>
      </c>
      <c r="I197" s="2" t="str">
        <f>IF(H197&lt;0,"Loss",IF(H197&lt;5000,"Low",IF(H197&lt;15000,"Medium","High")))</f>
        <v>High</v>
      </c>
      <c r="J197" s="2" t="str">
        <f>IF(AND(E197&gt;100,H197&gt;10000),"High Performing","Normal")</f>
        <v>High Performing</v>
      </c>
      <c r="K197" s="2" t="str">
        <f>TEXT(A197,"mmm")</f>
        <v>Jun</v>
      </c>
      <c r="L197" s="2">
        <f>YEAR(A197)</f>
        <v>2025</v>
      </c>
      <c r="M197" s="2" t="str" cm="1">
        <f t="array" ref="M197">INDEX(D:D,MATCH(MAX(F:F),F:F,0))</f>
        <v>Shoes</v>
      </c>
      <c r="N197" s="2" t="str">
        <f>IF(D197="Shoes","Footwear",IF(D197="Bags","Accessories",IF(D197="Wallets","Accessories",IF(D197="Belts","Accessories","Other"))))</f>
        <v>Accessories</v>
      </c>
    </row>
    <row r="198" spans="1:14">
      <c r="A198" s="1">
        <v>45809</v>
      </c>
      <c r="B198" t="s">
        <v>27</v>
      </c>
      <c r="C198" t="s">
        <v>23</v>
      </c>
      <c r="D198" t="s">
        <v>31</v>
      </c>
      <c r="E198">
        <v>42</v>
      </c>
      <c r="F198">
        <v>33222</v>
      </c>
      <c r="G198">
        <v>34938</v>
      </c>
      <c r="H198" s="2">
        <f>(F198-G198)</f>
        <v>-1716</v>
      </c>
      <c r="I198" s="2" t="str">
        <f>IF(H198&lt;0,"Loss",IF(H198&lt;5000,"Low",IF(H198&lt;15000,"Medium","High")))</f>
        <v>Loss</v>
      </c>
      <c r="J198" s="2" t="str">
        <f>IF(AND(E198&gt;100,H198&gt;10000),"High Performing","Normal")</f>
        <v>Normal</v>
      </c>
      <c r="K198" s="2" t="str">
        <f>TEXT(A198,"mmm")</f>
        <v>Jun</v>
      </c>
      <c r="L198" s="2">
        <f>YEAR(A198)</f>
        <v>2025</v>
      </c>
      <c r="M198" s="2" t="str" cm="1">
        <f t="array" ref="M198">INDEX(D:D,MATCH(MAX(F:F),F:F,0))</f>
        <v>Shoes</v>
      </c>
      <c r="N198" s="2" t="str">
        <f>IF(D198="Shoes","Footwear",IF(D198="Bags","Accessories",IF(D198="Wallets","Accessories",IF(D198="Belts","Accessories","Other"))))</f>
        <v>Accessories</v>
      </c>
    </row>
    <row r="199" spans="1:14">
      <c r="A199" s="1">
        <v>45787</v>
      </c>
      <c r="B199" t="s">
        <v>32</v>
      </c>
      <c r="C199" t="s">
        <v>20</v>
      </c>
      <c r="D199" t="s">
        <v>21</v>
      </c>
      <c r="E199">
        <v>23</v>
      </c>
      <c r="F199">
        <v>13961</v>
      </c>
      <c r="G199">
        <v>-3360</v>
      </c>
      <c r="H199" s="2">
        <f>(F199-G199)</f>
        <v>17321</v>
      </c>
      <c r="I199" s="2" t="str">
        <f>IF(H199&lt;0,"Loss",IF(H199&lt;5000,"Low",IF(H199&lt;15000,"Medium","High")))</f>
        <v>High</v>
      </c>
      <c r="J199" s="2" t="str">
        <f>IF(AND(E199&gt;100,H199&gt;10000),"High Performing","Normal")</f>
        <v>Normal</v>
      </c>
      <c r="K199" s="2" t="str">
        <f>TEXT(A199,"mmm")</f>
        <v>May</v>
      </c>
      <c r="L199" s="2">
        <f>YEAR(A199)</f>
        <v>2025</v>
      </c>
      <c r="M199" s="2" t="str" cm="1">
        <f t="array" ref="M199">INDEX(D:D,MATCH(MAX(F:F),F:F,0))</f>
        <v>Shoes</v>
      </c>
      <c r="N199" s="2" t="str">
        <f>IF(D199="Shoes","Footwear",IF(D199="Bags","Accessories",IF(D199="Wallets","Accessories",IF(D199="Belts","Accessories","Other"))))</f>
        <v>Footwear</v>
      </c>
    </row>
    <row r="200" spans="1:14">
      <c r="A200" s="1">
        <v>45734</v>
      </c>
      <c r="B200" t="s">
        <v>32</v>
      </c>
      <c r="C200" t="s">
        <v>30</v>
      </c>
      <c r="D200" t="s">
        <v>31</v>
      </c>
      <c r="E200">
        <v>84</v>
      </c>
      <c r="F200">
        <v>43008</v>
      </c>
      <c r="G200">
        <v>44018</v>
      </c>
      <c r="H200" s="2">
        <f>(F200-G200)</f>
        <v>-1010</v>
      </c>
      <c r="I200" s="2" t="str">
        <f>IF(H200&lt;0,"Loss",IF(H200&lt;5000,"Low",IF(H200&lt;15000,"Medium","High")))</f>
        <v>Loss</v>
      </c>
      <c r="J200" s="2" t="str">
        <f>IF(AND(E200&gt;100,H200&gt;10000),"High Performing","Normal")</f>
        <v>Normal</v>
      </c>
      <c r="K200" s="2" t="str">
        <f>TEXT(A200,"mmm")</f>
        <v>Mar</v>
      </c>
      <c r="L200" s="2">
        <f>YEAR(A200)</f>
        <v>2025</v>
      </c>
      <c r="M200" s="2" t="str" cm="1">
        <f t="array" ref="M200">INDEX(D:D,MATCH(MAX(F:F),F:F,0))</f>
        <v>Shoes</v>
      </c>
      <c r="N200" s="2" t="str">
        <f>IF(D200="Shoes","Footwear",IF(D200="Bags","Accessories",IF(D200="Wallets","Accessories",IF(D200="Belts","Accessories","Other"))))</f>
        <v>Accessories</v>
      </c>
    </row>
    <row r="201" spans="1:14">
      <c r="A201" s="1">
        <v>45753</v>
      </c>
      <c r="B201" t="s">
        <v>32</v>
      </c>
      <c r="C201" t="s">
        <v>34</v>
      </c>
      <c r="D201" t="s">
        <v>21</v>
      </c>
      <c r="E201">
        <v>15</v>
      </c>
      <c r="F201">
        <v>11040</v>
      </c>
      <c r="G201">
        <v>-5474</v>
      </c>
      <c r="H201" s="2">
        <f>(F201-G201)</f>
        <v>16514</v>
      </c>
      <c r="I201" s="2" t="str">
        <f>IF(H201&lt;0,"Loss",IF(H201&lt;5000,"Low",IF(H201&lt;15000,"Medium","High")))</f>
        <v>High</v>
      </c>
      <c r="J201" s="2" t="str">
        <f>IF(AND(E201&gt;100,H201&gt;10000),"High Performing","Normal")</f>
        <v>Normal</v>
      </c>
      <c r="K201" s="2" t="str">
        <f>TEXT(A201,"mmm")</f>
        <v>Apr</v>
      </c>
      <c r="L201" s="2">
        <f>YEAR(A201)</f>
        <v>2025</v>
      </c>
      <c r="M201" s="2" t="str" cm="1">
        <f t="array" ref="M201">INDEX(D:D,MATCH(MAX(F:F),F:F,0))</f>
        <v>Shoes</v>
      </c>
      <c r="N201" s="2" t="str">
        <f>IF(D201="Shoes","Footwear",IF(D201="Bags","Accessories",IF(D201="Wallets","Accessories",IF(D201="Belts","Accessories","Other"))))</f>
        <v>Footwear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workbookViewId="0">
      <selection activeCell="C17" sqref="C17"/>
    </sheetView>
  </sheetViews>
  <sheetFormatPr defaultColWidth="8.88888888888889" defaultRowHeight="14.4" outlineLevelRow="7" outlineLevelCol="2"/>
  <cols>
    <col min="1" max="1" width="11.6666666666667"/>
    <col min="2" max="3" width="15.4444444444444"/>
  </cols>
  <sheetData>
    <row r="3" spans="1:3">
      <c r="A3" t="s">
        <v>6</v>
      </c>
      <c r="B3" t="s">
        <v>35</v>
      </c>
      <c r="C3" t="s">
        <v>36</v>
      </c>
    </row>
    <row r="4" spans="1:3">
      <c r="A4" t="s">
        <v>19</v>
      </c>
      <c r="B4">
        <v>2618966</v>
      </c>
      <c r="C4">
        <v>339277</v>
      </c>
    </row>
    <row r="5" spans="1:3">
      <c r="A5" t="s">
        <v>27</v>
      </c>
      <c r="B5">
        <v>3142412</v>
      </c>
      <c r="C5">
        <v>342905</v>
      </c>
    </row>
    <row r="6" spans="1:3">
      <c r="A6" t="s">
        <v>32</v>
      </c>
      <c r="B6">
        <v>2570697</v>
      </c>
      <c r="C6">
        <v>400122</v>
      </c>
    </row>
    <row r="7" spans="1:3">
      <c r="A7" t="s">
        <v>33</v>
      </c>
      <c r="B7">
        <v>3082532</v>
      </c>
      <c r="C7">
        <v>289444</v>
      </c>
    </row>
    <row r="8" spans="1:3">
      <c r="A8" t="s">
        <v>37</v>
      </c>
      <c r="B8">
        <v>11414607</v>
      </c>
      <c r="C8">
        <v>1371748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M20" sqref="M20"/>
    </sheetView>
  </sheetViews>
  <sheetFormatPr defaultColWidth="8.88888888888889" defaultRowHeight="14.4" outlineLevelCol="1"/>
  <cols>
    <col min="1" max="1" width="11.6666666666667"/>
    <col min="2" max="2" width="16.1111111111111"/>
  </cols>
  <sheetData>
    <row r="3" spans="1:2">
      <c r="A3" t="s">
        <v>15</v>
      </c>
      <c r="B3" t="s">
        <v>35</v>
      </c>
    </row>
    <row r="4" spans="1:2">
      <c r="A4" t="s">
        <v>38</v>
      </c>
      <c r="B4">
        <v>1628766</v>
      </c>
    </row>
    <row r="5" spans="1:2">
      <c r="A5" t="s">
        <v>39</v>
      </c>
      <c r="B5">
        <v>1244370</v>
      </c>
    </row>
    <row r="6" spans="1:2">
      <c r="A6" t="s">
        <v>40</v>
      </c>
      <c r="B6">
        <v>1930431</v>
      </c>
    </row>
    <row r="7" spans="1:2">
      <c r="A7" t="s">
        <v>41</v>
      </c>
      <c r="B7">
        <v>1526742</v>
      </c>
    </row>
    <row r="8" spans="1:2">
      <c r="A8" t="s">
        <v>42</v>
      </c>
      <c r="B8">
        <v>2230842</v>
      </c>
    </row>
    <row r="9" spans="1:2">
      <c r="A9" t="s">
        <v>43</v>
      </c>
      <c r="B9">
        <v>2853456</v>
      </c>
    </row>
    <row r="10" spans="1:2">
      <c r="A10" t="s">
        <v>37</v>
      </c>
      <c r="B10">
        <v>11414607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D16" sqref="D16"/>
    </sheetView>
  </sheetViews>
  <sheetFormatPr defaultColWidth="8.88888888888889" defaultRowHeight="14.4" outlineLevelCol="1"/>
  <cols>
    <col min="1" max="1" width="13.8888888888889"/>
    <col min="2" max="2" width="13.1111111111111"/>
  </cols>
  <sheetData>
    <row r="3" spans="1:2">
      <c r="A3" t="s">
        <v>7</v>
      </c>
      <c r="B3" t="s">
        <v>36</v>
      </c>
    </row>
    <row r="4" spans="1:2">
      <c r="A4" t="s">
        <v>23</v>
      </c>
      <c r="B4">
        <v>243404</v>
      </c>
    </row>
    <row r="5" spans="1:2">
      <c r="A5" t="s">
        <v>28</v>
      </c>
      <c r="B5">
        <v>321211</v>
      </c>
    </row>
    <row r="6" spans="1:2">
      <c r="A6" t="s">
        <v>20</v>
      </c>
      <c r="B6">
        <v>358237</v>
      </c>
    </row>
    <row r="7" spans="1:2">
      <c r="A7" t="s">
        <v>34</v>
      </c>
      <c r="B7">
        <v>266209</v>
      </c>
    </row>
    <row r="8" spans="1:2">
      <c r="A8" t="s">
        <v>30</v>
      </c>
      <c r="B8">
        <v>182687</v>
      </c>
    </row>
    <row r="9" spans="1:2">
      <c r="A9" t="s">
        <v>37</v>
      </c>
      <c r="B9">
        <v>1371748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Dashboard</vt:lpstr>
      <vt:lpstr>Sales_Data</vt:lpstr>
      <vt:lpstr>Revenue RegionProfit</vt:lpstr>
      <vt:lpstr>MonthSales</vt:lpstr>
      <vt:lpstr>TopBottomPerformers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ATVIK SHARMA</cp:lastModifiedBy>
  <dcterms:created xsi:type="dcterms:W3CDTF">2026-04-28T05:02:00Z</dcterms:created>
  <dcterms:modified xsi:type="dcterms:W3CDTF">2026-04-28T08:29:05Z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9191B94AA65F4B94A2BAB73A1EF9CB40_12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